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เงินเดือนทุกสิ้นเดือน\ปี68\11พย.68\"/>
    </mc:Choice>
  </mc:AlternateContent>
  <xr:revisionPtr revIDLastSave="0" documentId="13_ncr:1_{B809590F-B72B-417A-A2D5-16F45B785772}" xr6:coauthVersionLast="47" xr6:coauthVersionMax="47" xr10:uidLastSave="{00000000-0000-0000-0000-000000000000}"/>
  <bookViews>
    <workbookView xWindow="-120" yWindow="-120" windowWidth="20730" windowHeight="11040" tabRatio="784" activeTab="7" xr2:uid="{00000000-000D-0000-FFFF-FFFF00000000}"/>
  </bookViews>
  <sheets>
    <sheet name="ข้าราชการ" sheetId="1" r:id="rId1"/>
    <sheet name="ลจ.ประจำ" sheetId="4" r:id="rId2"/>
    <sheet name="พนักงาน" sheetId="5" r:id="rId3"/>
    <sheet name="พกส." sheetId="36" r:id="rId4"/>
    <sheet name="รายเดือน" sheetId="6" r:id="rId5"/>
    <sheet name="รายวัน" sheetId="35" r:id="rId6"/>
    <sheet name="ช่วย" sheetId="50" r:id="rId7"/>
    <sheet name="สรุป" sheetId="49" r:id="rId8"/>
    <sheet name="ขร1" sheetId="3" r:id="rId9"/>
    <sheet name="ขร2" sheetId="43" r:id="rId10"/>
    <sheet name="ขร3" sheetId="44" r:id="rId11"/>
    <sheet name="ลจ" sheetId="46" r:id="rId12"/>
    <sheet name="พนง.ราชการ" sheetId="47" r:id="rId13"/>
    <sheet name="พกส.1" sheetId="45" r:id="rId14"/>
    <sheet name="พกส.1 (2)" sheetId="55" r:id="rId15"/>
    <sheet name="รด.1" sheetId="37" r:id="rId16"/>
    <sheet name="รว" sheetId="48" r:id="rId17"/>
    <sheet name="รว (2)" sheetId="53" r:id="rId18"/>
    <sheet name="1ช่วย" sheetId="54" r:id="rId19"/>
  </sheets>
  <externalReferences>
    <externalReference r:id="rId20"/>
  </externalReferences>
  <definedNames>
    <definedName name="_xlnm.Print_Titles" localSheetId="0">ข้าราชการ!$1:$7</definedName>
    <definedName name="_xlnm.Print_Titles" localSheetId="6">ช่วย!$1:$7</definedName>
    <definedName name="_xlnm.Print_Titles" localSheetId="3">พกส.!$1:$7</definedName>
    <definedName name="_xlnm.Print_Titles" localSheetId="2">พนักงาน!$1:$7</definedName>
    <definedName name="_xlnm.Print_Titles" localSheetId="4">รายเดือน!$1:$7</definedName>
    <definedName name="_xlnm.Print_Titles" localSheetId="5">รายวัน!$1:$7</definedName>
    <definedName name="_xlnm.Print_Titles" localSheetId="1">ลจ.ประจำ!$1:$7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4" i="54" l="1"/>
  <c r="D252" i="54"/>
  <c r="H256" i="54"/>
  <c r="D256" i="54"/>
  <c r="D257" i="54" s="1"/>
  <c r="C258" i="54" s="1"/>
  <c r="D253" i="54"/>
  <c r="A243" i="54"/>
  <c r="D230" i="54"/>
  <c r="D208" i="54"/>
  <c r="D186" i="54"/>
  <c r="D142" i="54"/>
  <c r="D120" i="54"/>
  <c r="H186" i="53"/>
  <c r="M297" i="45"/>
  <c r="Q277" i="45"/>
  <c r="Q276" i="45"/>
  <c r="M275" i="45"/>
  <c r="M253" i="45"/>
  <c r="M231" i="45"/>
  <c r="M209" i="45"/>
  <c r="M187" i="45"/>
  <c r="M165" i="45"/>
  <c r="M143" i="45"/>
  <c r="M121" i="45"/>
  <c r="M99" i="45"/>
  <c r="M77" i="45"/>
  <c r="M55" i="45"/>
  <c r="Q9" i="45"/>
  <c r="M11" i="45"/>
  <c r="D297" i="45"/>
  <c r="D275" i="45"/>
  <c r="D253" i="45"/>
  <c r="D231" i="45"/>
  <c r="D209" i="45"/>
  <c r="D187" i="45"/>
  <c r="D165" i="45"/>
  <c r="D143" i="45"/>
  <c r="D121" i="45"/>
  <c r="D99" i="45"/>
  <c r="D77" i="45"/>
  <c r="D55" i="45"/>
  <c r="M29" i="44"/>
  <c r="H53" i="44"/>
  <c r="H54" i="44"/>
  <c r="H33" i="44"/>
  <c r="Q185" i="43"/>
  <c r="Q184" i="43"/>
  <c r="Q30" i="43"/>
  <c r="H188" i="43"/>
  <c r="H187" i="43"/>
  <c r="H186" i="43"/>
  <c r="H56" i="43"/>
  <c r="H55" i="43"/>
  <c r="Q232" i="3"/>
  <c r="Q231" i="3"/>
  <c r="Q230" i="3"/>
  <c r="Q35" i="45"/>
  <c r="Q34" i="45"/>
  <c r="Q29" i="45"/>
  <c r="M33" i="45"/>
  <c r="F14" i="49"/>
  <c r="F15" i="49"/>
  <c r="F16" i="49"/>
  <c r="F17" i="49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V26" i="50"/>
  <c r="V25" i="50"/>
  <c r="V24" i="50"/>
  <c r="V23" i="50"/>
  <c r="V22" i="50"/>
  <c r="V21" i="50"/>
  <c r="V20" i="50"/>
  <c r="V19" i="50"/>
  <c r="V18" i="50"/>
  <c r="V17" i="50"/>
  <c r="V16" i="50"/>
  <c r="V15" i="50"/>
  <c r="V14" i="50"/>
  <c r="V13" i="50"/>
  <c r="V12" i="50"/>
  <c r="V11" i="50"/>
  <c r="V10" i="50"/>
  <c r="V9" i="50"/>
  <c r="V8" i="50"/>
  <c r="A2" i="50"/>
  <c r="V53" i="35"/>
  <c r="V52" i="35"/>
  <c r="V51" i="35"/>
  <c r="V50" i="35"/>
  <c r="V49" i="35"/>
  <c r="V48" i="35"/>
  <c r="V47" i="35"/>
  <c r="F45" i="35"/>
  <c r="F46" i="35" s="1"/>
  <c r="F55" i="35" s="1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T27" i="35"/>
  <c r="T45" i="35" s="1"/>
  <c r="T46" i="35" s="1"/>
  <c r="T55" i="35" s="1"/>
  <c r="H27" i="35"/>
  <c r="H45" i="35" s="1"/>
  <c r="H46" i="35" s="1"/>
  <c r="H55" i="35" s="1"/>
  <c r="F27" i="35"/>
  <c r="U26" i="35"/>
  <c r="U27" i="35" s="1"/>
  <c r="U45" i="35" s="1"/>
  <c r="U46" i="35" s="1"/>
  <c r="U55" i="35" s="1"/>
  <c r="T26" i="35"/>
  <c r="S26" i="35"/>
  <c r="S27" i="35" s="1"/>
  <c r="S45" i="35" s="1"/>
  <c r="S46" i="35" s="1"/>
  <c r="S55" i="35" s="1"/>
  <c r="R26" i="35"/>
  <c r="R27" i="35" s="1"/>
  <c r="R45" i="35" s="1"/>
  <c r="R46" i="35" s="1"/>
  <c r="R55" i="35" s="1"/>
  <c r="Q26" i="35"/>
  <c r="Q27" i="35" s="1"/>
  <c r="Q45" i="35" s="1"/>
  <c r="Q46" i="35" s="1"/>
  <c r="Q55" i="35" s="1"/>
  <c r="P26" i="35"/>
  <c r="P27" i="35" s="1"/>
  <c r="P45" i="35" s="1"/>
  <c r="P46" i="35" s="1"/>
  <c r="P55" i="35" s="1"/>
  <c r="O26" i="35"/>
  <c r="O27" i="35" s="1"/>
  <c r="O45" i="35" s="1"/>
  <c r="O46" i="35" s="1"/>
  <c r="O55" i="35" s="1"/>
  <c r="N26" i="35"/>
  <c r="N27" i="35" s="1"/>
  <c r="N45" i="35" s="1"/>
  <c r="N46" i="35" s="1"/>
  <c r="N55" i="35" s="1"/>
  <c r="M26" i="35"/>
  <c r="M27" i="35" s="1"/>
  <c r="M45" i="35" s="1"/>
  <c r="M46" i="35" s="1"/>
  <c r="M55" i="35" s="1"/>
  <c r="L26" i="35"/>
  <c r="L27" i="35" s="1"/>
  <c r="L45" i="35" s="1"/>
  <c r="L46" i="35" s="1"/>
  <c r="L55" i="35" s="1"/>
  <c r="K26" i="35"/>
  <c r="K27" i="35" s="1"/>
  <c r="K45" i="35" s="1"/>
  <c r="K46" i="35" s="1"/>
  <c r="K55" i="35" s="1"/>
  <c r="J26" i="35"/>
  <c r="J27" i="35" s="1"/>
  <c r="J45" i="35" s="1"/>
  <c r="J46" i="35" s="1"/>
  <c r="J55" i="35" s="1"/>
  <c r="I26" i="35"/>
  <c r="I27" i="35" s="1"/>
  <c r="I45" i="35" s="1"/>
  <c r="I46" i="35" s="1"/>
  <c r="I55" i="35" s="1"/>
  <c r="H26" i="35"/>
  <c r="G26" i="35"/>
  <c r="G27" i="35" s="1"/>
  <c r="G45" i="35" s="1"/>
  <c r="G46" i="35" s="1"/>
  <c r="G55" i="35" s="1"/>
  <c r="F26" i="35"/>
  <c r="E26" i="35"/>
  <c r="E27" i="35" s="1"/>
  <c r="E45" i="35" s="1"/>
  <c r="E46" i="35" s="1"/>
  <c r="E55" i="35" s="1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A2" i="35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A2" i="6"/>
  <c r="W40" i="36"/>
  <c r="W39" i="36"/>
  <c r="W38" i="36"/>
  <c r="W37" i="36"/>
  <c r="W36" i="36"/>
  <c r="W35" i="36"/>
  <c r="W34" i="36"/>
  <c r="W33" i="36"/>
  <c r="W32" i="36"/>
  <c r="W31" i="36"/>
  <c r="W30" i="36"/>
  <c r="W29" i="36"/>
  <c r="W28" i="36"/>
  <c r="W27" i="36"/>
  <c r="J26" i="36"/>
  <c r="J43" i="36" s="1"/>
  <c r="V25" i="36"/>
  <c r="V26" i="36" s="1"/>
  <c r="V43" i="36" s="1"/>
  <c r="U25" i="36"/>
  <c r="U26" i="36" s="1"/>
  <c r="U43" i="36" s="1"/>
  <c r="T25" i="36"/>
  <c r="T26" i="36" s="1"/>
  <c r="T43" i="36" s="1"/>
  <c r="S25" i="36"/>
  <c r="S26" i="36" s="1"/>
  <c r="S43" i="36" s="1"/>
  <c r="Q25" i="36"/>
  <c r="Q26" i="36" s="1"/>
  <c r="Q43" i="36" s="1"/>
  <c r="P25" i="36"/>
  <c r="P26" i="36" s="1"/>
  <c r="P43" i="36" s="1"/>
  <c r="O25" i="36"/>
  <c r="O26" i="36" s="1"/>
  <c r="O43" i="36" s="1"/>
  <c r="N25" i="36"/>
  <c r="N26" i="36" s="1"/>
  <c r="N43" i="36" s="1"/>
  <c r="M25" i="36"/>
  <c r="M26" i="36" s="1"/>
  <c r="M43" i="36" s="1"/>
  <c r="L25" i="36"/>
  <c r="L26" i="36" s="1"/>
  <c r="L43" i="36" s="1"/>
  <c r="K25" i="36"/>
  <c r="K26" i="36" s="1"/>
  <c r="K43" i="36" s="1"/>
  <c r="J25" i="36"/>
  <c r="I25" i="36"/>
  <c r="I26" i="36" s="1"/>
  <c r="I43" i="36" s="1"/>
  <c r="H25" i="36"/>
  <c r="H26" i="36" s="1"/>
  <c r="H43" i="36" s="1"/>
  <c r="G25" i="36"/>
  <c r="G26" i="36" s="1"/>
  <c r="G43" i="36" s="1"/>
  <c r="F25" i="36"/>
  <c r="F26" i="36" s="1"/>
  <c r="F43" i="36" s="1"/>
  <c r="E25" i="36"/>
  <c r="E26" i="36" s="1"/>
  <c r="E43" i="36" s="1"/>
  <c r="W24" i="36"/>
  <c r="W23" i="36"/>
  <c r="W22" i="36"/>
  <c r="W21" i="36"/>
  <c r="W20" i="36"/>
  <c r="W19" i="36"/>
  <c r="W18" i="36"/>
  <c r="W17" i="36"/>
  <c r="W16" i="36"/>
  <c r="W15" i="36"/>
  <c r="W14" i="36"/>
  <c r="W13" i="36"/>
  <c r="W12" i="36"/>
  <c r="W11" i="36"/>
  <c r="W10" i="36"/>
  <c r="W9" i="36"/>
  <c r="W8" i="36"/>
  <c r="A2" i="36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V11" i="5"/>
  <c r="V10" i="5"/>
  <c r="V9" i="5"/>
  <c r="V8" i="5"/>
  <c r="V24" i="5" s="1"/>
  <c r="K41" i="49" s="1"/>
  <c r="A2" i="5"/>
  <c r="U23" i="4"/>
  <c r="T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V8" i="4"/>
  <c r="V23" i="4" s="1"/>
  <c r="K40" i="49" s="1"/>
  <c r="A2" i="4"/>
  <c r="V72" i="1"/>
  <c r="V71" i="1"/>
  <c r="V70" i="1"/>
  <c r="V69" i="1"/>
  <c r="V68" i="1"/>
  <c r="V67" i="1"/>
  <c r="V66" i="1"/>
  <c r="V65" i="1"/>
  <c r="V64" i="1"/>
  <c r="V63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O26" i="1"/>
  <c r="O43" i="1" s="1"/>
  <c r="O44" i="1" s="1"/>
  <c r="O61" i="1" s="1"/>
  <c r="O62" i="1" s="1"/>
  <c r="O75" i="1" s="1"/>
  <c r="F26" i="1"/>
  <c r="F43" i="1" s="1"/>
  <c r="F44" i="1" s="1"/>
  <c r="F61" i="1" s="1"/>
  <c r="F62" i="1" s="1"/>
  <c r="F75" i="1" s="1"/>
  <c r="U25" i="1"/>
  <c r="U26" i="1" s="1"/>
  <c r="U43" i="1" s="1"/>
  <c r="U44" i="1" s="1"/>
  <c r="U61" i="1" s="1"/>
  <c r="U62" i="1" s="1"/>
  <c r="U75" i="1" s="1"/>
  <c r="T25" i="1"/>
  <c r="T26" i="1" s="1"/>
  <c r="T43" i="1" s="1"/>
  <c r="T44" i="1" s="1"/>
  <c r="T61" i="1" s="1"/>
  <c r="T62" i="1" s="1"/>
  <c r="T75" i="1" s="1"/>
  <c r="S25" i="1"/>
  <c r="S26" i="1" s="1"/>
  <c r="S43" i="1" s="1"/>
  <c r="S44" i="1" s="1"/>
  <c r="S61" i="1" s="1"/>
  <c r="S62" i="1" s="1"/>
  <c r="S75" i="1" s="1"/>
  <c r="R25" i="1"/>
  <c r="R26" i="1" s="1"/>
  <c r="R43" i="1" s="1"/>
  <c r="R44" i="1" s="1"/>
  <c r="R61" i="1" s="1"/>
  <c r="R62" i="1" s="1"/>
  <c r="R75" i="1" s="1"/>
  <c r="Q25" i="1"/>
  <c r="Q26" i="1" s="1"/>
  <c r="Q43" i="1" s="1"/>
  <c r="Q44" i="1" s="1"/>
  <c r="Q61" i="1" s="1"/>
  <c r="Q62" i="1" s="1"/>
  <c r="Q75" i="1" s="1"/>
  <c r="P25" i="1"/>
  <c r="P26" i="1" s="1"/>
  <c r="P43" i="1" s="1"/>
  <c r="P44" i="1" s="1"/>
  <c r="P61" i="1" s="1"/>
  <c r="P62" i="1" s="1"/>
  <c r="P75" i="1" s="1"/>
  <c r="O25" i="1"/>
  <c r="N25" i="1"/>
  <c r="N26" i="1" s="1"/>
  <c r="N43" i="1" s="1"/>
  <c r="N44" i="1" s="1"/>
  <c r="N61" i="1" s="1"/>
  <c r="N62" i="1" s="1"/>
  <c r="N75" i="1" s="1"/>
  <c r="M25" i="1"/>
  <c r="M26" i="1" s="1"/>
  <c r="M43" i="1" s="1"/>
  <c r="M44" i="1" s="1"/>
  <c r="M61" i="1" s="1"/>
  <c r="M62" i="1" s="1"/>
  <c r="M75" i="1" s="1"/>
  <c r="L25" i="1"/>
  <c r="L26" i="1" s="1"/>
  <c r="L43" i="1" s="1"/>
  <c r="L44" i="1" s="1"/>
  <c r="L61" i="1" s="1"/>
  <c r="L62" i="1" s="1"/>
  <c r="L75" i="1" s="1"/>
  <c r="K25" i="1"/>
  <c r="K26" i="1" s="1"/>
  <c r="K43" i="1" s="1"/>
  <c r="K44" i="1" s="1"/>
  <c r="K61" i="1" s="1"/>
  <c r="K62" i="1" s="1"/>
  <c r="K75" i="1" s="1"/>
  <c r="J25" i="1"/>
  <c r="J26" i="1" s="1"/>
  <c r="J43" i="1" s="1"/>
  <c r="J44" i="1" s="1"/>
  <c r="J61" i="1" s="1"/>
  <c r="J62" i="1" s="1"/>
  <c r="J75" i="1" s="1"/>
  <c r="I25" i="1"/>
  <c r="I26" i="1" s="1"/>
  <c r="I43" i="1" s="1"/>
  <c r="I44" i="1" s="1"/>
  <c r="I61" i="1" s="1"/>
  <c r="I62" i="1" s="1"/>
  <c r="I75" i="1" s="1"/>
  <c r="H25" i="1"/>
  <c r="H26" i="1" s="1"/>
  <c r="H43" i="1" s="1"/>
  <c r="H44" i="1" s="1"/>
  <c r="H61" i="1" s="1"/>
  <c r="H62" i="1" s="1"/>
  <c r="H75" i="1" s="1"/>
  <c r="G25" i="1"/>
  <c r="G26" i="1" s="1"/>
  <c r="G43" i="1" s="1"/>
  <c r="G44" i="1" s="1"/>
  <c r="G61" i="1" s="1"/>
  <c r="G62" i="1" s="1"/>
  <c r="G75" i="1" s="1"/>
  <c r="F25" i="1"/>
  <c r="E25" i="1"/>
  <c r="E26" i="1" s="1"/>
  <c r="E43" i="1" s="1"/>
  <c r="E44" i="1" s="1"/>
  <c r="E61" i="1" s="1"/>
  <c r="E62" i="1" s="1"/>
  <c r="E75" i="1" s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A1" i="48"/>
  <c r="H380" i="37"/>
  <c r="H388" i="37" s="1"/>
  <c r="D384" i="37"/>
  <c r="D383" i="37"/>
  <c r="D379" i="37"/>
  <c r="D388" i="37" s="1"/>
  <c r="H358" i="37"/>
  <c r="H366" i="37" s="1"/>
  <c r="D362" i="37"/>
  <c r="D361" i="37"/>
  <c r="D357" i="37"/>
  <c r="H339" i="37"/>
  <c r="H336" i="37"/>
  <c r="D340" i="37"/>
  <c r="D339" i="37"/>
  <c r="D335" i="37"/>
  <c r="H314" i="37"/>
  <c r="H322" i="37" s="1"/>
  <c r="D317" i="37"/>
  <c r="D313" i="37"/>
  <c r="H292" i="37"/>
  <c r="H300" i="37" s="1"/>
  <c r="D295" i="37"/>
  <c r="D291" i="37"/>
  <c r="H273" i="37"/>
  <c r="H270" i="37"/>
  <c r="D274" i="37"/>
  <c r="D273" i="37"/>
  <c r="D278" i="37" s="1"/>
  <c r="D269" i="37"/>
  <c r="H248" i="37"/>
  <c r="H256" i="37" s="1"/>
  <c r="D251" i="37"/>
  <c r="D256" i="37" s="1"/>
  <c r="D247" i="37"/>
  <c r="H226" i="37"/>
  <c r="H234" i="37" s="1"/>
  <c r="D230" i="37"/>
  <c r="D229" i="37"/>
  <c r="D234" i="37" s="1"/>
  <c r="D225" i="37"/>
  <c r="H204" i="37"/>
  <c r="H212" i="37" s="1"/>
  <c r="D208" i="37"/>
  <c r="D207" i="37"/>
  <c r="D203" i="37"/>
  <c r="H185" i="37"/>
  <c r="H182" i="37"/>
  <c r="D186" i="37"/>
  <c r="D190" i="37" s="1"/>
  <c r="D184" i="37"/>
  <c r="D181" i="37"/>
  <c r="H160" i="37"/>
  <c r="H168" i="37" s="1"/>
  <c r="D164" i="37"/>
  <c r="D162" i="37"/>
  <c r="D159" i="37"/>
  <c r="D168" i="37" s="1"/>
  <c r="H385" i="37"/>
  <c r="D385" i="37"/>
  <c r="H384" i="37"/>
  <c r="H383" i="37"/>
  <c r="D382" i="37"/>
  <c r="H363" i="37"/>
  <c r="D363" i="37"/>
  <c r="H362" i="37"/>
  <c r="H361" i="37"/>
  <c r="D360" i="37"/>
  <c r="H341" i="37"/>
  <c r="D341" i="37"/>
  <c r="H340" i="37"/>
  <c r="D338" i="37"/>
  <c r="H319" i="37"/>
  <c r="D319" i="37"/>
  <c r="H318" i="37"/>
  <c r="D318" i="37"/>
  <c r="H317" i="37"/>
  <c r="D316" i="37"/>
  <c r="H297" i="37"/>
  <c r="D297" i="37"/>
  <c r="H296" i="37"/>
  <c r="D296" i="37"/>
  <c r="H295" i="37"/>
  <c r="D294" i="37"/>
  <c r="H275" i="37"/>
  <c r="D275" i="37"/>
  <c r="H274" i="37"/>
  <c r="D272" i="37"/>
  <c r="H253" i="37"/>
  <c r="D253" i="37"/>
  <c r="H252" i="37"/>
  <c r="D252" i="37"/>
  <c r="H251" i="37"/>
  <c r="D250" i="37"/>
  <c r="H231" i="37"/>
  <c r="D231" i="37"/>
  <c r="H230" i="37"/>
  <c r="H229" i="37"/>
  <c r="D228" i="37"/>
  <c r="H209" i="37"/>
  <c r="D209" i="37"/>
  <c r="H208" i="37"/>
  <c r="H207" i="37"/>
  <c r="D206" i="37"/>
  <c r="H187" i="37"/>
  <c r="D187" i="37"/>
  <c r="H186" i="37"/>
  <c r="D185" i="37"/>
  <c r="H190" i="37"/>
  <c r="H165" i="37"/>
  <c r="D165" i="37"/>
  <c r="H164" i="37"/>
  <c r="H163" i="37"/>
  <c r="D163" i="37"/>
  <c r="H138" i="37"/>
  <c r="D142" i="37"/>
  <c r="D146" i="37" s="1"/>
  <c r="D140" i="37"/>
  <c r="D137" i="37"/>
  <c r="H146" i="37"/>
  <c r="H143" i="37"/>
  <c r="D143" i="37"/>
  <c r="H142" i="37"/>
  <c r="H141" i="37"/>
  <c r="D141" i="37"/>
  <c r="H116" i="37"/>
  <c r="D118" i="37"/>
  <c r="D115" i="37"/>
  <c r="H121" i="37"/>
  <c r="D121" i="37"/>
  <c r="H120" i="37"/>
  <c r="D120" i="37"/>
  <c r="H119" i="37"/>
  <c r="D119" i="37"/>
  <c r="H124" i="37"/>
  <c r="D234" i="54"/>
  <c r="D235" i="54" s="1"/>
  <c r="C236" i="54" s="1"/>
  <c r="H234" i="54"/>
  <c r="D231" i="54"/>
  <c r="D294" i="53"/>
  <c r="H208" i="53"/>
  <c r="H142" i="53"/>
  <c r="M76" i="44"/>
  <c r="M73" i="44"/>
  <c r="M54" i="44"/>
  <c r="M51" i="44"/>
  <c r="M33" i="44"/>
  <c r="M32" i="44"/>
  <c r="Q12" i="44"/>
  <c r="Q11" i="44"/>
  <c r="M11" i="44"/>
  <c r="M10" i="44"/>
  <c r="D208" i="44"/>
  <c r="D186" i="44"/>
  <c r="H78" i="44"/>
  <c r="H77" i="44"/>
  <c r="H76" i="44"/>
  <c r="H56" i="44"/>
  <c r="H55" i="44"/>
  <c r="Q207" i="43"/>
  <c r="Q206" i="43"/>
  <c r="Q52" i="43"/>
  <c r="H232" i="43"/>
  <c r="H231" i="43"/>
  <c r="H210" i="43"/>
  <c r="H209" i="43"/>
  <c r="H164" i="43"/>
  <c r="Q254" i="3"/>
  <c r="Q253" i="3"/>
  <c r="Q252" i="3"/>
  <c r="H57" i="55"/>
  <c r="H56" i="55"/>
  <c r="H164" i="53"/>
  <c r="M75" i="44"/>
  <c r="Q56" i="44"/>
  <c r="Q55" i="44"/>
  <c r="M53" i="44"/>
  <c r="Q34" i="44"/>
  <c r="Q33" i="44"/>
  <c r="M31" i="44"/>
  <c r="M9" i="44"/>
  <c r="D207" i="44"/>
  <c r="D185" i="44"/>
  <c r="H122" i="44"/>
  <c r="H121" i="44"/>
  <c r="H120" i="44"/>
  <c r="H119" i="44"/>
  <c r="H100" i="44"/>
  <c r="H99" i="44"/>
  <c r="D97" i="44"/>
  <c r="D98" i="44"/>
  <c r="D212" i="54"/>
  <c r="D213" i="54" s="1"/>
  <c r="C214" i="54" s="1"/>
  <c r="H212" i="54"/>
  <c r="D209" i="54"/>
  <c r="Q78" i="48"/>
  <c r="Q77" i="48"/>
  <c r="I40" i="49"/>
  <c r="D181" i="44"/>
  <c r="H181" i="44"/>
  <c r="D182" i="44"/>
  <c r="H182" i="44"/>
  <c r="D183" i="44"/>
  <c r="H183" i="44"/>
  <c r="D184" i="44"/>
  <c r="H184" i="44"/>
  <c r="H185" i="44"/>
  <c r="H186" i="44"/>
  <c r="D187" i="44"/>
  <c r="H187" i="44"/>
  <c r="D188" i="44"/>
  <c r="H188" i="44"/>
  <c r="D203" i="44"/>
  <c r="H204" i="44"/>
  <c r="D205" i="44"/>
  <c r="D206" i="44"/>
  <c r="H208" i="44"/>
  <c r="D209" i="44"/>
  <c r="H209" i="44"/>
  <c r="D210" i="44"/>
  <c r="D211" i="44"/>
  <c r="H318" i="53"/>
  <c r="D250" i="53"/>
  <c r="D257" i="37" l="1"/>
  <c r="C258" i="37" s="1"/>
  <c r="V27" i="50"/>
  <c r="K45" i="49" s="1"/>
  <c r="V26" i="35"/>
  <c r="V27" i="35" s="1"/>
  <c r="V45" i="35" s="1"/>
  <c r="V46" i="35" s="1"/>
  <c r="V55" i="35" s="1"/>
  <c r="K44" i="49" s="1"/>
  <c r="D389" i="37"/>
  <c r="C390" i="37" s="1"/>
  <c r="D322" i="37"/>
  <c r="D124" i="37"/>
  <c r="D344" i="37"/>
  <c r="H278" i="37"/>
  <c r="V26" i="6"/>
  <c r="K43" i="49" s="1"/>
  <c r="D147" i="37"/>
  <c r="C148" i="37" s="1"/>
  <c r="D300" i="37"/>
  <c r="V25" i="1"/>
  <c r="V26" i="1" s="1"/>
  <c r="V43" i="1" s="1"/>
  <c r="V44" i="1" s="1"/>
  <c r="V61" i="1" s="1"/>
  <c r="V62" i="1" s="1"/>
  <c r="V75" i="1" s="1"/>
  <c r="K39" i="49" s="1"/>
  <c r="D301" i="37"/>
  <c r="C302" i="37" s="1"/>
  <c r="H344" i="37"/>
  <c r="D345" i="37" s="1"/>
  <c r="C346" i="37" s="1"/>
  <c r="W25" i="36"/>
  <c r="W26" i="36" s="1"/>
  <c r="W43" i="36" s="1"/>
  <c r="K42" i="49" s="1"/>
  <c r="R25" i="36"/>
  <c r="R26" i="36" s="1"/>
  <c r="R43" i="36" s="1"/>
  <c r="D366" i="37"/>
  <c r="D367" i="37" s="1"/>
  <c r="C368" i="37" s="1"/>
  <c r="D323" i="37"/>
  <c r="C324" i="37" s="1"/>
  <c r="D279" i="37"/>
  <c r="C280" i="37" s="1"/>
  <c r="D212" i="37"/>
  <c r="D213" i="37" s="1"/>
  <c r="C214" i="37" s="1"/>
  <c r="D169" i="37"/>
  <c r="C170" i="37" s="1"/>
  <c r="D235" i="37"/>
  <c r="C236" i="37" s="1"/>
  <c r="D191" i="37"/>
  <c r="C192" i="37" s="1"/>
  <c r="D125" i="37"/>
  <c r="C126" i="37" s="1"/>
  <c r="D212" i="44"/>
  <c r="H212" i="44"/>
  <c r="D190" i="44"/>
  <c r="H190" i="44"/>
  <c r="M162" i="48"/>
  <c r="D191" i="44" l="1"/>
  <c r="C192" i="44" s="1"/>
  <c r="D213" i="44"/>
  <c r="C214" i="44" s="1"/>
  <c r="H49" i="55"/>
  <c r="H58" i="55" s="1"/>
  <c r="D54" i="55"/>
  <c r="D53" i="55"/>
  <c r="D49" i="55"/>
  <c r="H35" i="55"/>
  <c r="H34" i="55"/>
  <c r="H27" i="55"/>
  <c r="D32" i="55"/>
  <c r="D31" i="55"/>
  <c r="D27" i="55"/>
  <c r="H55" i="55"/>
  <c r="H53" i="55"/>
  <c r="H33" i="55"/>
  <c r="H31" i="55"/>
  <c r="D36" i="55" l="1"/>
  <c r="H36" i="55"/>
  <c r="D58" i="55"/>
  <c r="D59" i="55" s="1"/>
  <c r="C60" i="55" s="1"/>
  <c r="D316" i="53"/>
  <c r="H276" i="53"/>
  <c r="H275" i="53"/>
  <c r="M184" i="48"/>
  <c r="D37" i="55" l="1"/>
  <c r="C38" i="55" s="1"/>
  <c r="E28" i="49"/>
  <c r="C28" i="49"/>
  <c r="F13" i="49"/>
  <c r="F12" i="49"/>
  <c r="F11" i="49"/>
  <c r="F10" i="49"/>
  <c r="F9" i="49"/>
  <c r="F8" i="49"/>
  <c r="F7" i="49"/>
  <c r="F6" i="49"/>
  <c r="F5" i="49"/>
  <c r="Q28" i="45"/>
  <c r="M30" i="53"/>
  <c r="Q100" i="48"/>
  <c r="Q99" i="48"/>
  <c r="H119" i="43"/>
  <c r="M52" i="53"/>
  <c r="Q12" i="43"/>
  <c r="F28" i="49" l="1"/>
  <c r="Q144" i="48"/>
  <c r="Q143" i="48"/>
  <c r="H185" i="48"/>
  <c r="Q184" i="45"/>
  <c r="Q74" i="45"/>
  <c r="D101" i="44"/>
  <c r="D56" i="43"/>
  <c r="K46" i="49" l="1"/>
  <c r="G39" i="49" s="1"/>
  <c r="H5" i="55"/>
  <c r="Q291" i="45"/>
  <c r="Q269" i="45"/>
  <c r="Q247" i="45"/>
  <c r="Q225" i="45"/>
  <c r="Q203" i="45"/>
  <c r="Q181" i="45"/>
  <c r="Q159" i="45"/>
  <c r="Q137" i="45"/>
  <c r="Q118" i="45"/>
  <c r="Q116" i="45"/>
  <c r="Q115" i="45"/>
  <c r="Q96" i="45"/>
  <c r="Q93" i="45"/>
  <c r="Q75" i="45"/>
  <c r="Q72" i="45"/>
  <c r="Q71" i="45"/>
  <c r="Q57" i="45"/>
  <c r="Q56" i="45"/>
  <c r="Q53" i="45"/>
  <c r="Q51" i="45"/>
  <c r="Q49" i="45"/>
  <c r="Q31" i="45"/>
  <c r="Q27" i="45"/>
  <c r="Q5" i="45"/>
  <c r="H292" i="45"/>
  <c r="H291" i="45"/>
  <c r="H269" i="45"/>
  <c r="H247" i="45"/>
  <c r="H225" i="45"/>
  <c r="H207" i="45"/>
  <c r="H203" i="45"/>
  <c r="H185" i="45"/>
  <c r="H184" i="45"/>
  <c r="H183" i="45"/>
  <c r="H182" i="45"/>
  <c r="H181" i="45"/>
  <c r="H163" i="45"/>
  <c r="H161" i="45"/>
  <c r="H159" i="45"/>
  <c r="H142" i="45"/>
  <c r="H141" i="45"/>
  <c r="H139" i="45"/>
  <c r="H137" i="45"/>
  <c r="H123" i="45"/>
  <c r="H122" i="45"/>
  <c r="H120" i="45"/>
  <c r="H115" i="45"/>
  <c r="H97" i="45"/>
  <c r="H95" i="45"/>
  <c r="H93" i="45"/>
  <c r="H75" i="45"/>
  <c r="H71" i="45"/>
  <c r="H11" i="45"/>
  <c r="H10" i="45"/>
  <c r="H55" i="45"/>
  <c r="D34" i="45"/>
  <c r="D11" i="45"/>
  <c r="H159" i="44"/>
  <c r="H160" i="44"/>
  <c r="D161" i="44"/>
  <c r="H161" i="44"/>
  <c r="D162" i="44"/>
  <c r="H162" i="44"/>
  <c r="D163" i="44"/>
  <c r="H163" i="44"/>
  <c r="D164" i="44"/>
  <c r="H164" i="44"/>
  <c r="D165" i="44"/>
  <c r="H165" i="44"/>
  <c r="H166" i="44"/>
  <c r="D167" i="44"/>
  <c r="M52" i="44"/>
  <c r="M30" i="44"/>
  <c r="H144" i="44"/>
  <c r="H143" i="44"/>
  <c r="D142" i="44"/>
  <c r="D141" i="44"/>
  <c r="D140" i="44"/>
  <c r="D120" i="44"/>
  <c r="D119" i="44"/>
  <c r="D118" i="44"/>
  <c r="D117" i="44"/>
  <c r="D73" i="44"/>
  <c r="D57" i="44"/>
  <c r="D11" i="3"/>
  <c r="G43" i="49" l="1"/>
  <c r="F37" i="49" s="1"/>
  <c r="I37" i="49" s="1"/>
  <c r="D168" i="44"/>
  <c r="H168" i="44"/>
  <c r="D169" i="44" l="1"/>
  <c r="C170" i="44" s="1"/>
  <c r="Q297" i="45"/>
  <c r="Q299" i="45"/>
  <c r="Q298" i="45"/>
  <c r="M184" i="45"/>
  <c r="Q99" i="45"/>
  <c r="D52" i="47"/>
  <c r="M74" i="44"/>
  <c r="Q58" i="44"/>
  <c r="M55" i="44"/>
  <c r="M58" i="44" s="1"/>
  <c r="M59" i="44" l="1"/>
  <c r="L60" i="44" s="1"/>
  <c r="M77" i="44"/>
  <c r="M80" i="44" s="1"/>
  <c r="Q80" i="44"/>
  <c r="M36" i="44"/>
  <c r="Q36" i="44"/>
  <c r="M14" i="44"/>
  <c r="Q14" i="44"/>
  <c r="M37" i="44" l="1"/>
  <c r="L38" i="44" s="1"/>
  <c r="M15" i="44"/>
  <c r="L16" i="44" s="1"/>
  <c r="M81" i="44"/>
  <c r="L82" i="44" s="1"/>
  <c r="Q207" i="48"/>
  <c r="Q166" i="48"/>
  <c r="Q165" i="48"/>
  <c r="H207" i="48" l="1"/>
  <c r="H72" i="47"/>
  <c r="D76" i="47"/>
  <c r="D75" i="47"/>
  <c r="D71" i="47"/>
  <c r="D79" i="47"/>
  <c r="H78" i="47"/>
  <c r="D78" i="47"/>
  <c r="H77" i="47"/>
  <c r="H76" i="47"/>
  <c r="H75" i="47"/>
  <c r="H74" i="47"/>
  <c r="D74" i="47"/>
  <c r="H73" i="47"/>
  <c r="D73" i="47"/>
  <c r="D72" i="47"/>
  <c r="H71" i="47"/>
  <c r="D56" i="44"/>
  <c r="D51" i="47"/>
  <c r="H80" i="47" l="1"/>
  <c r="D80" i="47"/>
  <c r="Q188" i="48"/>
  <c r="Q187" i="48"/>
  <c r="H13" i="55"/>
  <c r="H12" i="55"/>
  <c r="H11" i="55"/>
  <c r="M206" i="45"/>
  <c r="Q121" i="45"/>
  <c r="Q78" i="45"/>
  <c r="M122" i="3"/>
  <c r="H50" i="47"/>
  <c r="D54" i="47"/>
  <c r="D53" i="47"/>
  <c r="D49" i="47"/>
  <c r="H56" i="47"/>
  <c r="H55" i="47"/>
  <c r="D55" i="47"/>
  <c r="H54" i="47"/>
  <c r="H53" i="47"/>
  <c r="H51" i="47"/>
  <c r="M231" i="3"/>
  <c r="D75" i="37"/>
  <c r="D96" i="44"/>
  <c r="D99" i="44"/>
  <c r="H102" i="44"/>
  <c r="D115" i="44"/>
  <c r="D121" i="44"/>
  <c r="D123" i="44"/>
  <c r="D137" i="44"/>
  <c r="H137" i="44"/>
  <c r="D138" i="44"/>
  <c r="H138" i="44"/>
  <c r="H139" i="44"/>
  <c r="H140" i="44"/>
  <c r="H141" i="44"/>
  <c r="H142" i="44"/>
  <c r="D143" i="44"/>
  <c r="D145" i="44"/>
  <c r="D74" i="44"/>
  <c r="D52" i="44"/>
  <c r="H30" i="44"/>
  <c r="H31" i="44"/>
  <c r="M186" i="43"/>
  <c r="M185" i="43"/>
  <c r="M184" i="43"/>
  <c r="Q122" i="43"/>
  <c r="Q121" i="43"/>
  <c r="Q96" i="43"/>
  <c r="Q76" i="43"/>
  <c r="Q34" i="43"/>
  <c r="Q33" i="43"/>
  <c r="Q11" i="43"/>
  <c r="H230" i="43"/>
  <c r="D232" i="43"/>
  <c r="H208" i="43"/>
  <c r="H207" i="43"/>
  <c r="H34" i="43"/>
  <c r="H33" i="43"/>
  <c r="H32" i="43"/>
  <c r="H190" i="54"/>
  <c r="D187" i="54"/>
  <c r="D54" i="44"/>
  <c r="Q120" i="43"/>
  <c r="H30" i="3"/>
  <c r="H168" i="54"/>
  <c r="D165" i="54"/>
  <c r="M228" i="45"/>
  <c r="Q161" i="45"/>
  <c r="Q100" i="45"/>
  <c r="H232" i="45"/>
  <c r="H231" i="45"/>
  <c r="Q140" i="43"/>
  <c r="Q53" i="43"/>
  <c r="A111" i="3"/>
  <c r="D81" i="47" l="1"/>
  <c r="C82" i="47" s="1"/>
  <c r="H146" i="44"/>
  <c r="H124" i="44"/>
  <c r="D168" i="54"/>
  <c r="D169" i="54" s="1"/>
  <c r="C170" i="54" s="1"/>
  <c r="H58" i="47"/>
  <c r="D58" i="47"/>
  <c r="D102" i="44"/>
  <c r="D103" i="44" s="1"/>
  <c r="C104" i="44" s="1"/>
  <c r="D124" i="44"/>
  <c r="D146" i="44"/>
  <c r="D190" i="54"/>
  <c r="D191" i="54" s="1"/>
  <c r="C192" i="54" s="1"/>
  <c r="H124" i="54"/>
  <c r="D121" i="54"/>
  <c r="D125" i="44" l="1"/>
  <c r="C126" i="44" s="1"/>
  <c r="D147" i="44"/>
  <c r="C148" i="44" s="1"/>
  <c r="D59" i="47"/>
  <c r="C60" i="47" s="1"/>
  <c r="D124" i="54"/>
  <c r="D125" i="54" s="1"/>
  <c r="C126" i="54" s="1"/>
  <c r="D35" i="44"/>
  <c r="D140" i="54" l="1"/>
  <c r="D98" i="54"/>
  <c r="H75" i="37"/>
  <c r="D30" i="37"/>
  <c r="Q9" i="43"/>
  <c r="H146" i="54" l="1"/>
  <c r="D143" i="54"/>
  <c r="D146" i="54"/>
  <c r="D147" i="54" s="1"/>
  <c r="C148" i="54" s="1"/>
  <c r="H102" i="54"/>
  <c r="D99" i="54"/>
  <c r="D102" i="54" s="1"/>
  <c r="D103" i="54" s="1"/>
  <c r="C104" i="54" s="1"/>
  <c r="H75" i="44"/>
  <c r="H74" i="44"/>
  <c r="D76" i="44"/>
  <c r="D75" i="44"/>
  <c r="D53" i="44"/>
  <c r="D32" i="44"/>
  <c r="D31" i="44"/>
  <c r="D30" i="44"/>
  <c r="D10" i="44"/>
  <c r="D9" i="44"/>
  <c r="D8" i="44"/>
  <c r="M208" i="43"/>
  <c r="M207" i="43"/>
  <c r="M206" i="43"/>
  <c r="M164" i="43"/>
  <c r="M163" i="43"/>
  <c r="M162" i="43"/>
  <c r="Q144" i="43"/>
  <c r="Q143" i="43"/>
  <c r="M142" i="43"/>
  <c r="M141" i="43"/>
  <c r="M140" i="43"/>
  <c r="M120" i="43"/>
  <c r="M119" i="43"/>
  <c r="M118" i="43"/>
  <c r="Q100" i="43"/>
  <c r="Q99" i="43"/>
  <c r="Q98" i="43"/>
  <c r="M98" i="43"/>
  <c r="M97" i="43"/>
  <c r="M96" i="43"/>
  <c r="Q78" i="43"/>
  <c r="Q77" i="43"/>
  <c r="M76" i="43"/>
  <c r="M75" i="43"/>
  <c r="M74" i="43"/>
  <c r="Q56" i="43"/>
  <c r="Q55" i="43"/>
  <c r="Q54" i="43"/>
  <c r="M54" i="43"/>
  <c r="M53" i="43"/>
  <c r="M52" i="43"/>
  <c r="Q32" i="43"/>
  <c r="M32" i="43"/>
  <c r="M31" i="43"/>
  <c r="M30" i="43"/>
  <c r="Q10" i="43"/>
  <c r="M10" i="43"/>
  <c r="M9" i="43"/>
  <c r="M8" i="43"/>
  <c r="D230" i="43"/>
  <c r="D229" i="43"/>
  <c r="D228" i="43"/>
  <c r="D208" i="43"/>
  <c r="D207" i="43"/>
  <c r="D206" i="43"/>
  <c r="D186" i="43"/>
  <c r="D185" i="43"/>
  <c r="D184" i="43"/>
  <c r="H166" i="43"/>
  <c r="H165" i="43"/>
  <c r="H163" i="43"/>
  <c r="D164" i="43"/>
  <c r="D163" i="43"/>
  <c r="D162" i="43"/>
  <c r="H144" i="43"/>
  <c r="H143" i="43"/>
  <c r="H142" i="43"/>
  <c r="H141" i="43"/>
  <c r="H140" i="43"/>
  <c r="H139" i="43"/>
  <c r="H138" i="43"/>
  <c r="H137" i="43"/>
  <c r="D145" i="43"/>
  <c r="D144" i="43"/>
  <c r="D143" i="43"/>
  <c r="D142" i="43"/>
  <c r="D141" i="43"/>
  <c r="D140" i="43"/>
  <c r="H122" i="43"/>
  <c r="H121" i="43"/>
  <c r="H120" i="43"/>
  <c r="D120" i="43"/>
  <c r="D119" i="43"/>
  <c r="D118" i="43"/>
  <c r="D101" i="43"/>
  <c r="D100" i="43"/>
  <c r="D99" i="43"/>
  <c r="D98" i="43"/>
  <c r="D97" i="43"/>
  <c r="D96" i="43"/>
  <c r="H78" i="43"/>
  <c r="H77" i="43"/>
  <c r="H76" i="43"/>
  <c r="D74" i="43"/>
  <c r="D75" i="43"/>
  <c r="D76" i="43"/>
  <c r="D8" i="43"/>
  <c r="D9" i="43"/>
  <c r="D30" i="43"/>
  <c r="D31" i="43"/>
  <c r="D53" i="43"/>
  <c r="D52" i="43"/>
  <c r="D54" i="43"/>
  <c r="D32" i="43"/>
  <c r="D10" i="43"/>
  <c r="Q251" i="3"/>
  <c r="M252" i="3"/>
  <c r="M251" i="3"/>
  <c r="M250" i="3"/>
  <c r="M230" i="3"/>
  <c r="M229" i="3"/>
  <c r="M228" i="3"/>
  <c r="Q139" i="45"/>
  <c r="D76" i="54"/>
  <c r="H80" i="54"/>
  <c r="D77" i="54"/>
  <c r="D54" i="54"/>
  <c r="H58" i="54"/>
  <c r="D55" i="54"/>
  <c r="H229" i="45"/>
  <c r="D27" i="47"/>
  <c r="H143" i="3"/>
  <c r="D10" i="54"/>
  <c r="H78" i="53"/>
  <c r="Q210" i="48"/>
  <c r="Q209" i="48"/>
  <c r="H97" i="37"/>
  <c r="D58" i="54" l="1"/>
  <c r="D59" i="54" s="1"/>
  <c r="C60" i="54" s="1"/>
  <c r="D80" i="54"/>
  <c r="D81" i="54" s="1"/>
  <c r="C82" i="54" s="1"/>
  <c r="H122" i="53" l="1"/>
  <c r="H121" i="53"/>
  <c r="H54" i="53"/>
  <c r="Q254" i="48"/>
  <c r="Q253" i="48"/>
  <c r="Q122" i="48"/>
  <c r="Q121" i="48"/>
  <c r="D52" i="37" l="1"/>
  <c r="M144" i="43"/>
  <c r="D184" i="53" l="1"/>
  <c r="H75" i="53"/>
  <c r="M118" i="48"/>
  <c r="H229" i="48"/>
  <c r="H53" i="48"/>
  <c r="H77" i="37"/>
  <c r="H76" i="37"/>
  <c r="D74" i="37"/>
  <c r="H34" i="37"/>
  <c r="H33" i="37"/>
  <c r="D10" i="55"/>
  <c r="D9" i="55"/>
  <c r="D5" i="55"/>
  <c r="H9" i="55"/>
  <c r="A1" i="55"/>
  <c r="M296" i="45"/>
  <c r="M295" i="45"/>
  <c r="M291" i="45"/>
  <c r="M298" i="45"/>
  <c r="Q295" i="45"/>
  <c r="M294" i="45"/>
  <c r="Q293" i="45"/>
  <c r="M274" i="45"/>
  <c r="M273" i="45"/>
  <c r="M269" i="45"/>
  <c r="M276" i="45"/>
  <c r="Q273" i="45"/>
  <c r="M272" i="45"/>
  <c r="Q271" i="45"/>
  <c r="M252" i="45"/>
  <c r="M251" i="45"/>
  <c r="M250" i="45"/>
  <c r="M247" i="45"/>
  <c r="M254" i="45"/>
  <c r="Q251" i="45"/>
  <c r="Q249" i="45"/>
  <c r="M230" i="45"/>
  <c r="M229" i="45"/>
  <c r="M225" i="45"/>
  <c r="M232" i="45"/>
  <c r="Q229" i="45"/>
  <c r="Q227" i="45"/>
  <c r="Q34" i="53"/>
  <c r="Q33" i="53"/>
  <c r="M8" i="53"/>
  <c r="H230" i="53"/>
  <c r="H6" i="37"/>
  <c r="Q183" i="45"/>
  <c r="Q163" i="45"/>
  <c r="Q234" i="45" l="1"/>
  <c r="Q300" i="45"/>
  <c r="Q278" i="45"/>
  <c r="Q256" i="45"/>
  <c r="M278" i="45"/>
  <c r="M234" i="45"/>
  <c r="H14" i="55"/>
  <c r="D14" i="55"/>
  <c r="M300" i="45"/>
  <c r="M256" i="45"/>
  <c r="M235" i="45" l="1"/>
  <c r="L236" i="45" s="1"/>
  <c r="M279" i="45"/>
  <c r="L280" i="45" s="1"/>
  <c r="M257" i="45"/>
  <c r="L258" i="45" s="1"/>
  <c r="M301" i="45"/>
  <c r="L302" i="45" s="1"/>
  <c r="D15" i="55"/>
  <c r="C16" i="55" s="1"/>
  <c r="Q56" i="53" l="1"/>
  <c r="Q55" i="53"/>
  <c r="H274" i="53"/>
  <c r="Q252" i="48"/>
  <c r="M250" i="48"/>
  <c r="H99" i="37"/>
  <c r="H98" i="37"/>
  <c r="D96" i="37"/>
  <c r="D76" i="37"/>
  <c r="H56" i="37"/>
  <c r="H55" i="37"/>
  <c r="D54" i="37"/>
  <c r="D53" i="37"/>
  <c r="D31" i="37"/>
  <c r="H28" i="37"/>
  <c r="D32" i="37"/>
  <c r="D99" i="53"/>
  <c r="D33" i="53"/>
  <c r="H28" i="47"/>
  <c r="H295" i="53" l="1"/>
  <c r="H75" i="48"/>
  <c r="Q187" i="45"/>
  <c r="H31" i="47"/>
  <c r="H98" i="48" l="1"/>
  <c r="D77" i="37"/>
  <c r="D71" i="37"/>
  <c r="D55" i="37"/>
  <c r="D49" i="37"/>
  <c r="D27" i="37"/>
  <c r="D5" i="37"/>
  <c r="H188" i="53" l="1"/>
  <c r="H187" i="53"/>
  <c r="Q232" i="48"/>
  <c r="Q231" i="48"/>
  <c r="M228" i="48"/>
  <c r="H232" i="53" l="1"/>
  <c r="H231" i="53"/>
  <c r="H210" i="53"/>
  <c r="D52" i="53"/>
  <c r="H12" i="53"/>
  <c r="H11" i="53"/>
  <c r="D8" i="53"/>
  <c r="Q141" i="48"/>
  <c r="Q53" i="48"/>
  <c r="D250" i="48"/>
  <c r="H298" i="53" l="1"/>
  <c r="H297" i="53"/>
  <c r="H77" i="53"/>
  <c r="H34" i="53"/>
  <c r="H33" i="53"/>
  <c r="D30" i="53"/>
  <c r="Q75" i="48"/>
  <c r="M8" i="48"/>
  <c r="Q207" i="45"/>
  <c r="D161" i="3"/>
  <c r="Q12" i="53" l="1"/>
  <c r="Q11" i="53"/>
  <c r="M11" i="53"/>
  <c r="H320" i="53"/>
  <c r="H319" i="53"/>
  <c r="D74" i="53"/>
  <c r="H56" i="53"/>
  <c r="H55" i="53"/>
  <c r="D11" i="53"/>
  <c r="Q186" i="48"/>
  <c r="Q98" i="48"/>
  <c r="M30" i="48"/>
  <c r="D11" i="46"/>
  <c r="Q205" i="45"/>
  <c r="Q143" i="45"/>
  <c r="Q122" i="45" l="1"/>
  <c r="Q98" i="45"/>
  <c r="H166" i="53" l="1"/>
  <c r="D318" i="53" l="1"/>
  <c r="D118" i="53"/>
  <c r="H100" i="53"/>
  <c r="H99" i="53"/>
  <c r="D96" i="53"/>
  <c r="H72" i="53"/>
  <c r="Q230" i="48"/>
  <c r="Q120" i="48"/>
  <c r="M52" i="48"/>
  <c r="H188" i="48"/>
  <c r="H187" i="48"/>
  <c r="H56" i="48"/>
  <c r="H55" i="48"/>
  <c r="H94" i="37"/>
  <c r="H102" i="37" s="1"/>
  <c r="D98" i="37"/>
  <c r="D97" i="37"/>
  <c r="D93" i="37"/>
  <c r="D99" i="37"/>
  <c r="D27" i="48"/>
  <c r="H27" i="48"/>
  <c r="H28" i="48"/>
  <c r="D31" i="48"/>
  <c r="D32" i="48"/>
  <c r="H32" i="48"/>
  <c r="D33" i="48"/>
  <c r="H33" i="48"/>
  <c r="D34" i="48"/>
  <c r="H34" i="48"/>
  <c r="H36" i="48" l="1"/>
  <c r="D36" i="48"/>
  <c r="D102" i="37"/>
  <c r="D103" i="37" s="1"/>
  <c r="C104" i="37" s="1"/>
  <c r="D37" i="48" l="1"/>
  <c r="C38" i="48" s="1"/>
  <c r="Q50" i="53" l="1"/>
  <c r="M54" i="53"/>
  <c r="M53" i="53"/>
  <c r="M49" i="53"/>
  <c r="M56" i="53"/>
  <c r="Q54" i="53"/>
  <c r="Q28" i="53"/>
  <c r="M32" i="53"/>
  <c r="M31" i="53"/>
  <c r="M27" i="53"/>
  <c r="Q6" i="53"/>
  <c r="M10" i="53"/>
  <c r="M9" i="53"/>
  <c r="M5" i="53"/>
  <c r="H314" i="53"/>
  <c r="D317" i="53"/>
  <c r="D313" i="53"/>
  <c r="H292" i="53"/>
  <c r="D296" i="53"/>
  <c r="D295" i="53"/>
  <c r="D291" i="53"/>
  <c r="H270" i="53"/>
  <c r="D274" i="53"/>
  <c r="D273" i="53"/>
  <c r="D269" i="53"/>
  <c r="H248" i="53"/>
  <c r="D252" i="53"/>
  <c r="D251" i="53"/>
  <c r="D247" i="53"/>
  <c r="H226" i="53"/>
  <c r="D230" i="53"/>
  <c r="D229" i="53"/>
  <c r="D225" i="53"/>
  <c r="H209" i="53"/>
  <c r="H204" i="53"/>
  <c r="D208" i="53"/>
  <c r="D207" i="53"/>
  <c r="D206" i="53"/>
  <c r="D203" i="53"/>
  <c r="H182" i="53"/>
  <c r="D186" i="53"/>
  <c r="D185" i="53"/>
  <c r="D181" i="53"/>
  <c r="H165" i="53"/>
  <c r="H160" i="53"/>
  <c r="D164" i="53"/>
  <c r="D163" i="53"/>
  <c r="D162" i="53"/>
  <c r="D159" i="53"/>
  <c r="H144" i="53"/>
  <c r="H143" i="53"/>
  <c r="H138" i="53"/>
  <c r="D142" i="53"/>
  <c r="D141" i="53"/>
  <c r="D140" i="53"/>
  <c r="D137" i="53"/>
  <c r="H116" i="53"/>
  <c r="D120" i="53"/>
  <c r="D119" i="53"/>
  <c r="D115" i="53"/>
  <c r="H94" i="53"/>
  <c r="D98" i="53"/>
  <c r="D97" i="53"/>
  <c r="D93" i="53"/>
  <c r="D76" i="53"/>
  <c r="D75" i="53"/>
  <c r="D71" i="53"/>
  <c r="H50" i="53"/>
  <c r="D54" i="53"/>
  <c r="D53" i="53"/>
  <c r="D49" i="53"/>
  <c r="H28" i="53"/>
  <c r="D32" i="53"/>
  <c r="D31" i="53"/>
  <c r="D27" i="53"/>
  <c r="H10" i="53"/>
  <c r="H6" i="53"/>
  <c r="D10" i="53"/>
  <c r="D9" i="53"/>
  <c r="D5" i="53"/>
  <c r="Q248" i="48"/>
  <c r="M252" i="48"/>
  <c r="M251" i="48"/>
  <c r="M247" i="48"/>
  <c r="Q226" i="48"/>
  <c r="M230" i="48"/>
  <c r="M229" i="48"/>
  <c r="M225" i="48"/>
  <c r="Q225" i="48"/>
  <c r="M232" i="48"/>
  <c r="Q247" i="48"/>
  <c r="M254" i="48"/>
  <c r="Q204" i="48"/>
  <c r="M208" i="48"/>
  <c r="M207" i="48"/>
  <c r="M203" i="48"/>
  <c r="Q182" i="48"/>
  <c r="M186" i="48"/>
  <c r="M185" i="48"/>
  <c r="M181" i="48"/>
  <c r="Q164" i="48"/>
  <c r="Q160" i="48"/>
  <c r="M164" i="48"/>
  <c r="M163" i="48"/>
  <c r="M159" i="48"/>
  <c r="Q138" i="48"/>
  <c r="M142" i="48"/>
  <c r="M141" i="48"/>
  <c r="M137" i="48"/>
  <c r="Q116" i="48"/>
  <c r="M120" i="48"/>
  <c r="M119" i="48"/>
  <c r="M115" i="48"/>
  <c r="Q94" i="48"/>
  <c r="M98" i="48"/>
  <c r="M97" i="48"/>
  <c r="M96" i="48"/>
  <c r="M93" i="48"/>
  <c r="Q72" i="48"/>
  <c r="M76" i="48"/>
  <c r="M75" i="48"/>
  <c r="M74" i="48"/>
  <c r="M71" i="48"/>
  <c r="Q58" i="53" l="1"/>
  <c r="Q234" i="48"/>
  <c r="Q256" i="48"/>
  <c r="M58" i="53"/>
  <c r="M256" i="48"/>
  <c r="M234" i="48"/>
  <c r="H54" i="37"/>
  <c r="H32" i="37"/>
  <c r="Q165" i="45"/>
  <c r="H228" i="45"/>
  <c r="H32" i="47"/>
  <c r="D207" i="48"/>
  <c r="M59" i="53" l="1"/>
  <c r="L60" i="53" s="1"/>
  <c r="M235" i="48"/>
  <c r="L236" i="48" s="1"/>
  <c r="M257" i="48"/>
  <c r="L258" i="48" s="1"/>
  <c r="M33" i="53"/>
  <c r="D77" i="53"/>
  <c r="D143" i="48"/>
  <c r="D121" i="48"/>
  <c r="D99" i="48"/>
  <c r="D55" i="48"/>
  <c r="D11" i="48"/>
  <c r="D11" i="37"/>
  <c r="D33" i="47"/>
  <c r="D13" i="44"/>
  <c r="M123" i="43"/>
  <c r="M145" i="3"/>
  <c r="M123" i="3"/>
  <c r="M78" i="3"/>
  <c r="M34" i="53" l="1"/>
  <c r="Q32" i="53"/>
  <c r="M12" i="53"/>
  <c r="Q10" i="53"/>
  <c r="Q14" i="53" s="1"/>
  <c r="H72" i="37"/>
  <c r="H50" i="37"/>
  <c r="D10" i="37"/>
  <c r="D9" i="37"/>
  <c r="D32" i="47"/>
  <c r="D31" i="47"/>
  <c r="H29" i="47"/>
  <c r="H33" i="47"/>
  <c r="H34" i="47"/>
  <c r="D10" i="3"/>
  <c r="H36" i="47" l="1"/>
  <c r="Q36" i="53"/>
  <c r="M36" i="53"/>
  <c r="M14" i="53"/>
  <c r="M15" i="53" s="1"/>
  <c r="L16" i="53" s="1"/>
  <c r="D36" i="47"/>
  <c r="D320" i="53"/>
  <c r="D319" i="53"/>
  <c r="D298" i="53"/>
  <c r="D297" i="53"/>
  <c r="H296" i="53"/>
  <c r="D37" i="47" l="1"/>
  <c r="C38" i="47" s="1"/>
  <c r="M37" i="53"/>
  <c r="L38" i="53" s="1"/>
  <c r="H300" i="53"/>
  <c r="H322" i="53"/>
  <c r="D322" i="53"/>
  <c r="D300" i="53"/>
  <c r="D11" i="54"/>
  <c r="D276" i="53"/>
  <c r="D275" i="53"/>
  <c r="D272" i="53"/>
  <c r="H254" i="53"/>
  <c r="D254" i="53"/>
  <c r="H253" i="53"/>
  <c r="D253" i="53"/>
  <c r="H252" i="53"/>
  <c r="M143" i="48"/>
  <c r="M77" i="48"/>
  <c r="M55" i="48"/>
  <c r="M143" i="43"/>
  <c r="M143" i="3"/>
  <c r="D187" i="3"/>
  <c r="D143" i="3"/>
  <c r="D121" i="3"/>
  <c r="D301" i="53" l="1"/>
  <c r="C302" i="53" s="1"/>
  <c r="D323" i="53"/>
  <c r="C324" i="53" s="1"/>
  <c r="H278" i="53"/>
  <c r="H256" i="53"/>
  <c r="D256" i="53"/>
  <c r="D278" i="53"/>
  <c r="D120" i="3"/>
  <c r="D279" i="53" l="1"/>
  <c r="C280" i="53" s="1"/>
  <c r="D257" i="53"/>
  <c r="C258" i="53" s="1"/>
  <c r="D232" i="53"/>
  <c r="D231" i="53"/>
  <c r="D210" i="53"/>
  <c r="D209" i="53"/>
  <c r="Q164" i="45"/>
  <c r="D33" i="54"/>
  <c r="D187" i="53"/>
  <c r="D165" i="53"/>
  <c r="D143" i="53"/>
  <c r="D121" i="53"/>
  <c r="M209" i="48"/>
  <c r="Q203" i="48"/>
  <c r="Q208" i="48"/>
  <c r="M210" i="48"/>
  <c r="M187" i="48"/>
  <c r="M165" i="48"/>
  <c r="M121" i="48"/>
  <c r="M99" i="48"/>
  <c r="Q56" i="48"/>
  <c r="Q55" i="48"/>
  <c r="Q50" i="48"/>
  <c r="M54" i="48"/>
  <c r="M53" i="48"/>
  <c r="M49" i="48"/>
  <c r="M11" i="48"/>
  <c r="H232" i="48"/>
  <c r="H231" i="48"/>
  <c r="H226" i="48"/>
  <c r="D231" i="48"/>
  <c r="D230" i="48"/>
  <c r="D229" i="48"/>
  <c r="D225" i="48"/>
  <c r="H210" i="48"/>
  <c r="H209" i="48"/>
  <c r="H204" i="48"/>
  <c r="D209" i="48"/>
  <c r="D208" i="48"/>
  <c r="D203" i="48"/>
  <c r="H182" i="48"/>
  <c r="D187" i="48"/>
  <c r="D186" i="48"/>
  <c r="D185" i="48"/>
  <c r="D181" i="48"/>
  <c r="H160" i="48"/>
  <c r="D164" i="48"/>
  <c r="D163" i="48"/>
  <c r="D159" i="48"/>
  <c r="D33" i="37"/>
  <c r="H234" i="53" l="1"/>
  <c r="D234" i="53"/>
  <c r="Q212" i="48"/>
  <c r="H212" i="53"/>
  <c r="D212" i="53"/>
  <c r="M212" i="48"/>
  <c r="H168" i="48"/>
  <c r="D168" i="48"/>
  <c r="M187" i="3"/>
  <c r="M77" i="3"/>
  <c r="M121" i="3"/>
  <c r="D33" i="3"/>
  <c r="D235" i="53" l="1"/>
  <c r="C236" i="53" s="1"/>
  <c r="M213" i="48"/>
  <c r="L214" i="48" s="1"/>
  <c r="D213" i="53"/>
  <c r="C214" i="53" s="1"/>
  <c r="D169" i="48"/>
  <c r="C170" i="48" s="1"/>
  <c r="D166" i="43"/>
  <c r="D31" i="45" l="1"/>
  <c r="D32" i="45"/>
  <c r="H165" i="45" l="1"/>
  <c r="M186" i="45" l="1"/>
  <c r="M10" i="48"/>
  <c r="H50" i="45"/>
  <c r="M167" i="3" l="1"/>
  <c r="M166" i="3"/>
  <c r="D78" i="44" l="1"/>
  <c r="D32" i="54" l="1"/>
  <c r="M118" i="3"/>
  <c r="M74" i="3"/>
  <c r="D188" i="53"/>
  <c r="D166" i="53"/>
  <c r="D144" i="53"/>
  <c r="D122" i="53"/>
  <c r="H120" i="53"/>
  <c r="D100" i="53"/>
  <c r="H98" i="53"/>
  <c r="D78" i="53"/>
  <c r="H76" i="53"/>
  <c r="D56" i="53"/>
  <c r="M208" i="45"/>
  <c r="Q186" i="45"/>
  <c r="H10" i="44"/>
  <c r="Q164" i="43"/>
  <c r="M167" i="43"/>
  <c r="M117" i="3"/>
  <c r="Q78" i="3"/>
  <c r="Q77" i="3"/>
  <c r="M207" i="45"/>
  <c r="M203" i="45"/>
  <c r="M185" i="45"/>
  <c r="M181" i="45"/>
  <c r="Q208" i="43"/>
  <c r="H190" i="53" l="1"/>
  <c r="H146" i="53"/>
  <c r="D168" i="53"/>
  <c r="H168" i="53"/>
  <c r="H102" i="53"/>
  <c r="D190" i="53"/>
  <c r="H124" i="53"/>
  <c r="D146" i="53"/>
  <c r="D124" i="53"/>
  <c r="D102" i="53"/>
  <c r="Q190" i="45"/>
  <c r="H80" i="53"/>
  <c r="D80" i="53"/>
  <c r="H58" i="53"/>
  <c r="D58" i="53"/>
  <c r="Q212" i="45"/>
  <c r="M212" i="45"/>
  <c r="M190" i="45"/>
  <c r="M191" i="45" l="1"/>
  <c r="L192" i="45" s="1"/>
  <c r="D147" i="53"/>
  <c r="C148" i="53" s="1"/>
  <c r="D169" i="53"/>
  <c r="C170" i="53" s="1"/>
  <c r="D191" i="53"/>
  <c r="C192" i="53" s="1"/>
  <c r="D103" i="53"/>
  <c r="C104" i="53" s="1"/>
  <c r="D125" i="53"/>
  <c r="C126" i="53" s="1"/>
  <c r="D81" i="53"/>
  <c r="C82" i="53" s="1"/>
  <c r="D59" i="53"/>
  <c r="C60" i="53" s="1"/>
  <c r="M213" i="45"/>
  <c r="L214" i="45" s="1"/>
  <c r="Q80" i="48" l="1"/>
  <c r="M33" i="48"/>
  <c r="D55" i="44"/>
  <c r="D11" i="44"/>
  <c r="M209" i="43"/>
  <c r="M165" i="43"/>
  <c r="M121" i="43"/>
  <c r="D187" i="43"/>
  <c r="D165" i="43"/>
  <c r="D33" i="43"/>
  <c r="M165" i="3"/>
  <c r="M80" i="48" l="1"/>
  <c r="M81" i="48" s="1"/>
  <c r="L82" i="48" s="1"/>
  <c r="D14" i="54" l="1"/>
  <c r="Q142" i="45"/>
  <c r="Q120" i="45"/>
  <c r="A1" i="54"/>
  <c r="H14" i="54"/>
  <c r="D34" i="53"/>
  <c r="H32" i="53"/>
  <c r="D253" i="48"/>
  <c r="D77" i="48"/>
  <c r="H80" i="37"/>
  <c r="H58" i="37"/>
  <c r="D58" i="37" l="1"/>
  <c r="D59" i="37" s="1"/>
  <c r="C60" i="37" s="1"/>
  <c r="D15" i="54"/>
  <c r="C16" i="54" s="1"/>
  <c r="D80" i="37"/>
  <c r="D81" i="37" s="1"/>
  <c r="C82" i="37" s="1"/>
  <c r="H36" i="53"/>
  <c r="D36" i="53"/>
  <c r="D37" i="53" l="1"/>
  <c r="C38" i="53" s="1"/>
  <c r="D12" i="53" l="1"/>
  <c r="H5" i="53"/>
  <c r="Q159" i="48"/>
  <c r="M166" i="48"/>
  <c r="Q181" i="48"/>
  <c r="M188" i="48"/>
  <c r="J111" i="48"/>
  <c r="J133" i="48" s="1"/>
  <c r="J155" i="48" s="1"/>
  <c r="J177" i="48" s="1"/>
  <c r="Q115" i="48"/>
  <c r="M122" i="48"/>
  <c r="Q137" i="48"/>
  <c r="Q142" i="48"/>
  <c r="M144" i="48"/>
  <c r="Q28" i="48"/>
  <c r="Q36" i="48" s="1"/>
  <c r="M32" i="48"/>
  <c r="M31" i="48"/>
  <c r="M27" i="48"/>
  <c r="Q6" i="48"/>
  <c r="Q14" i="48" s="1"/>
  <c r="M9" i="48"/>
  <c r="M5" i="48"/>
  <c r="H248" i="48"/>
  <c r="D252" i="48"/>
  <c r="D251" i="48"/>
  <c r="D247" i="48"/>
  <c r="H138" i="48"/>
  <c r="D142" i="48"/>
  <c r="D141" i="48"/>
  <c r="D137" i="48"/>
  <c r="H116" i="48"/>
  <c r="D120" i="48"/>
  <c r="D119" i="48"/>
  <c r="D115" i="48"/>
  <c r="H94" i="48"/>
  <c r="D98" i="48"/>
  <c r="D97" i="48"/>
  <c r="D93" i="48"/>
  <c r="H72" i="48"/>
  <c r="D76" i="48"/>
  <c r="D75" i="48"/>
  <c r="D71" i="48"/>
  <c r="H50" i="48"/>
  <c r="D54" i="48"/>
  <c r="D53" i="48"/>
  <c r="D49" i="48"/>
  <c r="H6" i="48"/>
  <c r="D10" i="48"/>
  <c r="D9" i="48"/>
  <c r="D5" i="48"/>
  <c r="H36" i="37"/>
  <c r="D36" i="37" l="1"/>
  <c r="D37" i="37" s="1"/>
  <c r="C38" i="37" s="1"/>
  <c r="M146" i="48"/>
  <c r="Q146" i="48"/>
  <c r="Q190" i="48"/>
  <c r="H14" i="53"/>
  <c r="M168" i="48"/>
  <c r="M190" i="48"/>
  <c r="D14" i="53"/>
  <c r="Q168" i="48"/>
  <c r="Q124" i="48"/>
  <c r="M124" i="48"/>
  <c r="M14" i="48"/>
  <c r="M15" i="48" s="1"/>
  <c r="L16" i="48" s="1"/>
  <c r="M36" i="48"/>
  <c r="M37" i="48" s="1"/>
  <c r="L38" i="48" s="1"/>
  <c r="D15" i="53" l="1"/>
  <c r="C16" i="53" s="1"/>
  <c r="M191" i="48"/>
  <c r="L192" i="48" s="1"/>
  <c r="M147" i="48"/>
  <c r="L148" i="48" s="1"/>
  <c r="M169" i="48"/>
  <c r="L170" i="48" s="1"/>
  <c r="M125" i="48"/>
  <c r="L126" i="48" s="1"/>
  <c r="Q102" i="48"/>
  <c r="M76" i="45"/>
  <c r="M102" i="48" l="1"/>
  <c r="M103" i="48" s="1"/>
  <c r="L104" i="48" s="1"/>
  <c r="Q168" i="45" l="1"/>
  <c r="M164" i="45"/>
  <c r="M163" i="45"/>
  <c r="M159" i="45"/>
  <c r="Q144" i="45"/>
  <c r="Q141" i="45"/>
  <c r="Q140" i="45"/>
  <c r="M142" i="45"/>
  <c r="M141" i="45"/>
  <c r="M137" i="45"/>
  <c r="Q124" i="45"/>
  <c r="M120" i="45"/>
  <c r="M119" i="45"/>
  <c r="M115" i="45"/>
  <c r="Q102" i="45"/>
  <c r="M98" i="45"/>
  <c r="M97" i="45"/>
  <c r="M93" i="45"/>
  <c r="M75" i="45"/>
  <c r="M71" i="45"/>
  <c r="D291" i="45"/>
  <c r="H300" i="45"/>
  <c r="D295" i="45"/>
  <c r="D296" i="45"/>
  <c r="Q209" i="43"/>
  <c r="Q210" i="43"/>
  <c r="H256" i="48"/>
  <c r="H144" i="48"/>
  <c r="H143" i="48"/>
  <c r="H142" i="48"/>
  <c r="H137" i="48"/>
  <c r="M54" i="45"/>
  <c r="M53" i="45"/>
  <c r="M49" i="45"/>
  <c r="Q36" i="45"/>
  <c r="M32" i="45"/>
  <c r="M31" i="45"/>
  <c r="M27" i="45"/>
  <c r="M10" i="45"/>
  <c r="M9" i="45"/>
  <c r="M5" i="45"/>
  <c r="Q12" i="45"/>
  <c r="Q11" i="45"/>
  <c r="Q10" i="45"/>
  <c r="Q212" i="43" l="1"/>
  <c r="M58" i="48"/>
  <c r="M212" i="43"/>
  <c r="Q58" i="48"/>
  <c r="M80" i="45"/>
  <c r="D256" i="48"/>
  <c r="D257" i="48" s="1"/>
  <c r="C258" i="48" s="1"/>
  <c r="M168" i="45"/>
  <c r="M169" i="45" s="1"/>
  <c r="L170" i="45" s="1"/>
  <c r="Q146" i="45"/>
  <c r="M146" i="45"/>
  <c r="M124" i="45"/>
  <c r="M125" i="45" s="1"/>
  <c r="L126" i="45" s="1"/>
  <c r="M102" i="45"/>
  <c r="M103" i="45" s="1"/>
  <c r="L104" i="45" s="1"/>
  <c r="Q80" i="45"/>
  <c r="D300" i="45"/>
  <c r="D301" i="45" s="1"/>
  <c r="C302" i="45" s="1"/>
  <c r="Q58" i="45"/>
  <c r="Q14" i="45"/>
  <c r="M36" i="45"/>
  <c r="M37" i="45" s="1"/>
  <c r="L38" i="45" s="1"/>
  <c r="D146" i="48"/>
  <c r="H146" i="48"/>
  <c r="M58" i="45"/>
  <c r="M14" i="45"/>
  <c r="M213" i="43" l="1"/>
  <c r="L214" i="43" s="1"/>
  <c r="M59" i="48"/>
  <c r="L60" i="48" s="1"/>
  <c r="M81" i="45"/>
  <c r="L82" i="45" s="1"/>
  <c r="M147" i="45"/>
  <c r="L148" i="45" s="1"/>
  <c r="M15" i="45"/>
  <c r="L16" i="45" s="1"/>
  <c r="M59" i="45"/>
  <c r="L60" i="45" s="1"/>
  <c r="D147" i="48"/>
  <c r="C148" i="48" s="1"/>
  <c r="M188" i="3" l="1"/>
  <c r="H36" i="54" l="1"/>
  <c r="D36" i="54"/>
  <c r="H32" i="44"/>
  <c r="D142" i="3"/>
  <c r="D123" i="3"/>
  <c r="D37" i="54" l="1"/>
  <c r="C38" i="54" s="1"/>
  <c r="H122" i="48"/>
  <c r="H121" i="48"/>
  <c r="H120" i="48"/>
  <c r="H115" i="48"/>
  <c r="H100" i="48"/>
  <c r="H99" i="48"/>
  <c r="H93" i="48"/>
  <c r="H274" i="45"/>
  <c r="H252" i="45"/>
  <c r="H230" i="45"/>
  <c r="H188" i="45"/>
  <c r="H167" i="45"/>
  <c r="D141" i="45"/>
  <c r="D142" i="45"/>
  <c r="H119" i="45"/>
  <c r="H102" i="48" l="1"/>
  <c r="D102" i="48"/>
  <c r="H124" i="48"/>
  <c r="D124" i="48"/>
  <c r="D232" i="48"/>
  <c r="H230" i="48"/>
  <c r="H225" i="48"/>
  <c r="H78" i="48"/>
  <c r="H77" i="48"/>
  <c r="H76" i="48"/>
  <c r="H71" i="48"/>
  <c r="H54" i="48"/>
  <c r="H49" i="48"/>
  <c r="D103" i="48" l="1"/>
  <c r="C104" i="48" s="1"/>
  <c r="D125" i="48"/>
  <c r="C126" i="48" s="1"/>
  <c r="H234" i="48"/>
  <c r="D234" i="48"/>
  <c r="D80" i="48"/>
  <c r="H80" i="48"/>
  <c r="D58" i="48"/>
  <c r="H58" i="48"/>
  <c r="D235" i="48" l="1"/>
  <c r="C236" i="48" s="1"/>
  <c r="D81" i="48"/>
  <c r="C82" i="48" s="1"/>
  <c r="D59" i="48"/>
  <c r="C60" i="48" s="1"/>
  <c r="H278" i="45" l="1"/>
  <c r="D274" i="45"/>
  <c r="D273" i="45"/>
  <c r="D269" i="45"/>
  <c r="H254" i="45"/>
  <c r="H253" i="45"/>
  <c r="H251" i="45"/>
  <c r="H250" i="45"/>
  <c r="D252" i="45"/>
  <c r="D251" i="45"/>
  <c r="D247" i="45"/>
  <c r="H227" i="45"/>
  <c r="D230" i="45"/>
  <c r="D229" i="45"/>
  <c r="D233" i="45"/>
  <c r="D225" i="45"/>
  <c r="H206" i="45"/>
  <c r="H205" i="45"/>
  <c r="D208" i="45"/>
  <c r="D207" i="45"/>
  <c r="D203" i="45"/>
  <c r="H187" i="45"/>
  <c r="D189" i="45"/>
  <c r="D186" i="45"/>
  <c r="D185" i="45"/>
  <c r="D184" i="45"/>
  <c r="D183" i="45"/>
  <c r="D182" i="45"/>
  <c r="D181" i="45"/>
  <c r="H166" i="45"/>
  <c r="D167" i="45"/>
  <c r="D164" i="45"/>
  <c r="D163" i="45"/>
  <c r="D162" i="45"/>
  <c r="D161" i="45"/>
  <c r="D160" i="45"/>
  <c r="D159" i="45"/>
  <c r="H145" i="45"/>
  <c r="H146" i="45" s="1"/>
  <c r="D137" i="45"/>
  <c r="H117" i="45"/>
  <c r="H116" i="45"/>
  <c r="D120" i="45"/>
  <c r="D119" i="45"/>
  <c r="D115" i="45"/>
  <c r="A111" i="45"/>
  <c r="H124" i="45" l="1"/>
  <c r="A177" i="45"/>
  <c r="H256" i="45"/>
  <c r="D256" i="45"/>
  <c r="H190" i="45"/>
  <c r="D146" i="45"/>
  <c r="D278" i="45"/>
  <c r="D279" i="45" s="1"/>
  <c r="C280" i="45" s="1"/>
  <c r="H234" i="45"/>
  <c r="D234" i="45"/>
  <c r="H212" i="45"/>
  <c r="D212" i="45"/>
  <c r="D190" i="45"/>
  <c r="H168" i="45"/>
  <c r="D168" i="45"/>
  <c r="D124" i="45"/>
  <c r="A221" i="45"/>
  <c r="A155" i="45"/>
  <c r="A133" i="45"/>
  <c r="A199" i="45"/>
  <c r="J89" i="45" l="1"/>
  <c r="J67" i="45"/>
  <c r="D191" i="45"/>
  <c r="C192" i="45" s="1"/>
  <c r="D257" i="45"/>
  <c r="C258" i="45" s="1"/>
  <c r="D235" i="45"/>
  <c r="C236" i="45" s="1"/>
  <c r="D147" i="45"/>
  <c r="C148" i="45" s="1"/>
  <c r="D213" i="45"/>
  <c r="C214" i="45" s="1"/>
  <c r="D169" i="45"/>
  <c r="C170" i="45" s="1"/>
  <c r="D125" i="45"/>
  <c r="C126" i="45" s="1"/>
  <c r="A243" i="45"/>
  <c r="A265" i="45"/>
  <c r="D210" i="48"/>
  <c r="H208" i="48"/>
  <c r="H203" i="48"/>
  <c r="Q181" i="43"/>
  <c r="Q182" i="43"/>
  <c r="M183" i="43"/>
  <c r="Q183" i="43"/>
  <c r="H122" i="3"/>
  <c r="D122" i="3"/>
  <c r="H121" i="3"/>
  <c r="H120" i="3"/>
  <c r="H119" i="3"/>
  <c r="D119" i="3"/>
  <c r="H118" i="3"/>
  <c r="D118" i="3"/>
  <c r="H117" i="3"/>
  <c r="D117" i="3"/>
  <c r="H116" i="3"/>
  <c r="D116" i="3"/>
  <c r="H115" i="3"/>
  <c r="D115" i="3"/>
  <c r="Q190" i="43" l="1"/>
  <c r="H212" i="48"/>
  <c r="M190" i="43"/>
  <c r="D212" i="48"/>
  <c r="H124" i="3"/>
  <c r="D124" i="3"/>
  <c r="D213" i="48" l="1"/>
  <c r="C214" i="48" s="1"/>
  <c r="M191" i="43"/>
  <c r="L192" i="43" s="1"/>
  <c r="D125" i="3"/>
  <c r="C126" i="3" s="1"/>
  <c r="A111" i="48" l="1"/>
  <c r="D13" i="43"/>
  <c r="D12" i="43"/>
  <c r="H9" i="43"/>
  <c r="H8" i="43"/>
  <c r="H7" i="43"/>
  <c r="D7" i="43"/>
  <c r="H6" i="43"/>
  <c r="D6" i="43"/>
  <c r="H5" i="43"/>
  <c r="D5" i="43"/>
  <c r="A1" i="43"/>
  <c r="Q122" i="3"/>
  <c r="Q121" i="3"/>
  <c r="M120" i="3"/>
  <c r="M119" i="3"/>
  <c r="H144" i="3"/>
  <c r="D141" i="3"/>
  <c r="D144" i="3"/>
  <c r="H140" i="3"/>
  <c r="H139" i="3"/>
  <c r="D139" i="3"/>
  <c r="H138" i="3"/>
  <c r="D138" i="3"/>
  <c r="H137" i="3"/>
  <c r="D137" i="3"/>
  <c r="A133" i="48" l="1"/>
  <c r="A155" i="54" s="1"/>
  <c r="D14" i="43"/>
  <c r="D146" i="3"/>
  <c r="H14" i="43"/>
  <c r="H146" i="3"/>
  <c r="H7" i="47"/>
  <c r="A155" i="48" l="1"/>
  <c r="A177" i="54" s="1"/>
  <c r="D15" i="43"/>
  <c r="C16" i="43" s="1"/>
  <c r="D147" i="3"/>
  <c r="C148" i="3" s="1"/>
  <c r="H13" i="45" l="1"/>
  <c r="H12" i="45"/>
  <c r="D93" i="45"/>
  <c r="D97" i="45"/>
  <c r="H7" i="45"/>
  <c r="D13" i="46"/>
  <c r="H102" i="45" l="1"/>
  <c r="D102" i="45"/>
  <c r="D103" i="45" l="1"/>
  <c r="C104" i="45" s="1"/>
  <c r="H6" i="45" l="1"/>
  <c r="A1" i="45"/>
  <c r="Q159" i="43"/>
  <c r="M160" i="43"/>
  <c r="Q160" i="43"/>
  <c r="M161" i="43"/>
  <c r="Q161" i="43"/>
  <c r="Q163" i="43"/>
  <c r="M166" i="43"/>
  <c r="J23" i="45" l="1"/>
  <c r="A287" i="45"/>
  <c r="A67" i="45"/>
  <c r="A45" i="45"/>
  <c r="Q168" i="43"/>
  <c r="M168" i="43"/>
  <c r="A45" i="3"/>
  <c r="A45" i="55" l="1"/>
  <c r="M169" i="43"/>
  <c r="L170" i="43" s="1"/>
  <c r="J243" i="3" l="1"/>
  <c r="M248" i="3"/>
  <c r="M249" i="3"/>
  <c r="Q250" i="3"/>
  <c r="Q256" i="3" l="1"/>
  <c r="M256" i="3"/>
  <c r="M257" i="3" l="1"/>
  <c r="L258" i="3" s="1"/>
  <c r="D75" i="45" l="1"/>
  <c r="D53" i="45"/>
  <c r="D9" i="47"/>
  <c r="D9" i="46"/>
  <c r="D53" i="3" l="1"/>
  <c r="M145" i="43" l="1"/>
  <c r="D34" i="3"/>
  <c r="D190" i="48" l="1"/>
  <c r="H186" i="48"/>
  <c r="H181" i="48"/>
  <c r="H53" i="45"/>
  <c r="H31" i="45"/>
  <c r="H9" i="45"/>
  <c r="H190" i="48" l="1"/>
  <c r="D191" i="48" s="1"/>
  <c r="C192" i="48" s="1"/>
  <c r="H14" i="37" l="1"/>
  <c r="D14" i="37" l="1"/>
  <c r="D15" i="37" s="1"/>
  <c r="C16" i="37" s="1"/>
  <c r="M76" i="3" l="1"/>
  <c r="M75" i="3"/>
  <c r="H33" i="3"/>
  <c r="H73" i="44" l="1"/>
  <c r="H72" i="44"/>
  <c r="H71" i="44"/>
  <c r="H34" i="3"/>
  <c r="D80" i="44" l="1"/>
  <c r="H80" i="44"/>
  <c r="D81" i="44" l="1"/>
  <c r="C82" i="44" s="1"/>
  <c r="H14" i="48" l="1"/>
  <c r="H8" i="45"/>
  <c r="A1" i="47"/>
  <c r="D13" i="47"/>
  <c r="H12" i="47"/>
  <c r="D12" i="47"/>
  <c r="H11" i="47"/>
  <c r="D11" i="47"/>
  <c r="H10" i="47"/>
  <c r="D10" i="47"/>
  <c r="H9" i="47"/>
  <c r="H8" i="47"/>
  <c r="D8" i="47"/>
  <c r="D7" i="47"/>
  <c r="H6" i="47"/>
  <c r="D6" i="47"/>
  <c r="H5" i="47"/>
  <c r="D5" i="47"/>
  <c r="H12" i="46"/>
  <c r="D12" i="46"/>
  <c r="H11" i="46"/>
  <c r="H10" i="46"/>
  <c r="D10" i="46"/>
  <c r="H9" i="46"/>
  <c r="H8" i="46"/>
  <c r="D8" i="46"/>
  <c r="H7" i="46"/>
  <c r="D7" i="46"/>
  <c r="H6" i="46"/>
  <c r="D6" i="46"/>
  <c r="H5" i="46"/>
  <c r="D5" i="46"/>
  <c r="H79" i="45"/>
  <c r="D76" i="45"/>
  <c r="D71" i="45"/>
  <c r="H57" i="45"/>
  <c r="H56" i="45"/>
  <c r="D54" i="45"/>
  <c r="H51" i="45"/>
  <c r="H49" i="45"/>
  <c r="D49" i="45"/>
  <c r="D35" i="45"/>
  <c r="D33" i="45"/>
  <c r="H29" i="45"/>
  <c r="H27" i="45"/>
  <c r="D27" i="45"/>
  <c r="D10" i="45"/>
  <c r="D9" i="45"/>
  <c r="H5" i="45"/>
  <c r="D5" i="45"/>
  <c r="J67" i="3"/>
  <c r="M79" i="3"/>
  <c r="Q76" i="3"/>
  <c r="Q75" i="3"/>
  <c r="Q74" i="3"/>
  <c r="Q73" i="3"/>
  <c r="M73" i="3"/>
  <c r="Q72" i="3"/>
  <c r="M72" i="3"/>
  <c r="Q71" i="3"/>
  <c r="M71" i="3"/>
  <c r="D31" i="3"/>
  <c r="D30" i="3"/>
  <c r="D32" i="3"/>
  <c r="A23" i="3"/>
  <c r="D35" i="3"/>
  <c r="H36" i="45" l="1"/>
  <c r="A23" i="55"/>
  <c r="H14" i="45"/>
  <c r="H58" i="45"/>
  <c r="A23" i="48"/>
  <c r="J45" i="48"/>
  <c r="A221" i="48"/>
  <c r="A67" i="48"/>
  <c r="A89" i="54" s="1"/>
  <c r="A45" i="48"/>
  <c r="A67" i="54" s="1"/>
  <c r="J89" i="48"/>
  <c r="A89" i="48"/>
  <c r="A243" i="48"/>
  <c r="J45" i="45"/>
  <c r="J1" i="45"/>
  <c r="A23" i="54"/>
  <c r="A199" i="48"/>
  <c r="A221" i="54" s="1"/>
  <c r="A177" i="48"/>
  <c r="A199" i="54" s="1"/>
  <c r="D14" i="47"/>
  <c r="H14" i="47"/>
  <c r="D14" i="48"/>
  <c r="D15" i="48" s="1"/>
  <c r="C16" i="48" s="1"/>
  <c r="H80" i="45"/>
  <c r="D14" i="46"/>
  <c r="H14" i="46"/>
  <c r="D36" i="45"/>
  <c r="D80" i="45"/>
  <c r="D14" i="45"/>
  <c r="D58" i="45"/>
  <c r="A23" i="45"/>
  <c r="M80" i="3"/>
  <c r="Q80" i="3"/>
  <c r="D36" i="3"/>
  <c r="D15" i="45" l="1"/>
  <c r="A111" i="54"/>
  <c r="A133" i="54"/>
  <c r="J1" i="48"/>
  <c r="A45" i="54"/>
  <c r="J221" i="48"/>
  <c r="J243" i="48" s="1"/>
  <c r="J67" i="48"/>
  <c r="J199" i="48"/>
  <c r="J23" i="48"/>
  <c r="A1" i="37"/>
  <c r="C16" i="45"/>
  <c r="D15" i="47"/>
  <c r="C16" i="47" s="1"/>
  <c r="D15" i="46"/>
  <c r="C16" i="46" s="1"/>
  <c r="A89" i="45"/>
  <c r="J111" i="45" s="1"/>
  <c r="A199" i="44" s="1"/>
  <c r="D37" i="45"/>
  <c r="C38" i="45" s="1"/>
  <c r="D81" i="45"/>
  <c r="C82" i="45" s="1"/>
  <c r="D59" i="45"/>
  <c r="C60" i="45" s="1"/>
  <c r="M81" i="3"/>
  <c r="L82" i="3" s="1"/>
  <c r="A67" i="37" l="1"/>
  <c r="A133" i="37" s="1"/>
  <c r="A199" i="37" s="1"/>
  <c r="A265" i="37" s="1"/>
  <c r="A331" i="37" s="1"/>
  <c r="A45" i="37"/>
  <c r="A111" i="37" s="1"/>
  <c r="A177" i="37" s="1"/>
  <c r="A243" i="37" s="1"/>
  <c r="A309" i="37" s="1"/>
  <c r="A375" i="37" s="1"/>
  <c r="A199" i="53"/>
  <c r="J23" i="53"/>
  <c r="A23" i="53"/>
  <c r="J1" i="53"/>
  <c r="A265" i="53"/>
  <c r="A67" i="53"/>
  <c r="A1" i="53"/>
  <c r="A177" i="53"/>
  <c r="J133" i="45"/>
  <c r="A45" i="53" l="1"/>
  <c r="A243" i="53"/>
  <c r="J45" i="53"/>
  <c r="A221" i="53"/>
  <c r="J155" i="45"/>
  <c r="A45" i="47" s="1"/>
  <c r="A23" i="47"/>
  <c r="H27" i="3"/>
  <c r="A111" i="53" l="1"/>
  <c r="A287" i="53"/>
  <c r="J177" i="45"/>
  <c r="A309" i="53"/>
  <c r="A155" i="53" l="1"/>
  <c r="J199" i="45"/>
  <c r="J221" i="45" s="1"/>
  <c r="J243" i="45" s="1"/>
  <c r="J265" i="45" s="1"/>
  <c r="J287" i="45" s="1"/>
  <c r="A133" i="53"/>
  <c r="A89" i="53"/>
  <c r="H164" i="3" l="1"/>
  <c r="Q124" i="43" l="1"/>
  <c r="M124" i="43"/>
  <c r="Q146" i="43"/>
  <c r="M146" i="43"/>
  <c r="M125" i="43" l="1"/>
  <c r="L126" i="43" s="1"/>
  <c r="M147" i="43"/>
  <c r="L148" i="43" s="1"/>
  <c r="D228" i="3" l="1"/>
  <c r="D206" i="3"/>
  <c r="D204" i="3"/>
  <c r="M55" i="43" l="1"/>
  <c r="Q165" i="3"/>
  <c r="D13" i="3"/>
  <c r="D12" i="3"/>
  <c r="J1" i="3"/>
  <c r="D5" i="3"/>
  <c r="H5" i="3"/>
  <c r="M5" i="3"/>
  <c r="Q5" i="3"/>
  <c r="D6" i="3"/>
  <c r="H6" i="3"/>
  <c r="M6" i="3"/>
  <c r="Q6" i="3"/>
  <c r="D7" i="3"/>
  <c r="H7" i="3"/>
  <c r="M7" i="3"/>
  <c r="Q7" i="3"/>
  <c r="D8" i="3"/>
  <c r="H8" i="3"/>
  <c r="M8" i="3"/>
  <c r="Q8" i="3"/>
  <c r="D9" i="3"/>
  <c r="H9" i="3"/>
  <c r="M9" i="3"/>
  <c r="Q9" i="3"/>
  <c r="H10" i="3"/>
  <c r="M10" i="3"/>
  <c r="Q10" i="3"/>
  <c r="H11" i="3"/>
  <c r="M11" i="3"/>
  <c r="Q11" i="3"/>
  <c r="H12" i="3"/>
  <c r="M12" i="3"/>
  <c r="Q12" i="3"/>
  <c r="M13" i="3"/>
  <c r="J23" i="3"/>
  <c r="M27" i="3"/>
  <c r="Q27" i="3"/>
  <c r="D50" i="3"/>
  <c r="M28" i="3"/>
  <c r="Q28" i="3"/>
  <c r="D51" i="3"/>
  <c r="M29" i="3"/>
  <c r="Q29" i="3"/>
  <c r="D52" i="3"/>
  <c r="M30" i="3"/>
  <c r="Q30" i="3"/>
  <c r="H53" i="3"/>
  <c r="M31" i="3"/>
  <c r="Q31" i="3"/>
  <c r="D54" i="3"/>
  <c r="H54" i="3"/>
  <c r="M32" i="3"/>
  <c r="Q32" i="3"/>
  <c r="M33" i="3"/>
  <c r="Q33" i="3"/>
  <c r="D56" i="3"/>
  <c r="M34" i="3"/>
  <c r="Q34" i="3"/>
  <c r="D57" i="3"/>
  <c r="M35" i="3"/>
  <c r="A67" i="3"/>
  <c r="J45" i="3"/>
  <c r="D71" i="3"/>
  <c r="H71" i="3"/>
  <c r="M49" i="3"/>
  <c r="Q49" i="3"/>
  <c r="D72" i="3"/>
  <c r="H72" i="3"/>
  <c r="M50" i="3"/>
  <c r="Q50" i="3"/>
  <c r="D73" i="3"/>
  <c r="H73" i="3"/>
  <c r="M51" i="3"/>
  <c r="Q51" i="3"/>
  <c r="D74" i="3"/>
  <c r="H74" i="3"/>
  <c r="M52" i="3"/>
  <c r="Q52" i="3"/>
  <c r="D75" i="3"/>
  <c r="H75" i="3"/>
  <c r="M53" i="3"/>
  <c r="Q53" i="3"/>
  <c r="D76" i="3"/>
  <c r="H76" i="3"/>
  <c r="M54" i="3"/>
  <c r="Q54" i="3"/>
  <c r="D77" i="3"/>
  <c r="H77" i="3"/>
  <c r="M55" i="3"/>
  <c r="Q55" i="3"/>
  <c r="D78" i="3"/>
  <c r="H78" i="3"/>
  <c r="M56" i="3"/>
  <c r="Q56" i="3"/>
  <c r="D79" i="3"/>
  <c r="M57" i="3"/>
  <c r="J89" i="3"/>
  <c r="D93" i="3"/>
  <c r="H93" i="3"/>
  <c r="M93" i="3"/>
  <c r="Q93" i="3"/>
  <c r="D94" i="3"/>
  <c r="H94" i="3"/>
  <c r="M94" i="3"/>
  <c r="Q94" i="3"/>
  <c r="D95" i="3"/>
  <c r="H95" i="3"/>
  <c r="M95" i="3"/>
  <c r="Q95" i="3"/>
  <c r="D96" i="3"/>
  <c r="H96" i="3"/>
  <c r="M96" i="3"/>
  <c r="Q96" i="3"/>
  <c r="D97" i="3"/>
  <c r="H97" i="3"/>
  <c r="M97" i="3"/>
  <c r="Q97" i="3"/>
  <c r="D98" i="3"/>
  <c r="H98" i="3"/>
  <c r="M98" i="3"/>
  <c r="Q98" i="3"/>
  <c r="D99" i="3"/>
  <c r="H99" i="3"/>
  <c r="M99" i="3"/>
  <c r="Q99" i="3"/>
  <c r="D100" i="3"/>
  <c r="H100" i="3"/>
  <c r="M100" i="3"/>
  <c r="Q100" i="3"/>
  <c r="D101" i="3"/>
  <c r="M101" i="3"/>
  <c r="J111" i="3"/>
  <c r="Q115" i="3"/>
  <c r="M116" i="3"/>
  <c r="Q116" i="3"/>
  <c r="Q117" i="3"/>
  <c r="Q119" i="3"/>
  <c r="Q120" i="3"/>
  <c r="A155" i="3"/>
  <c r="J133" i="3"/>
  <c r="D159" i="3"/>
  <c r="H159" i="3"/>
  <c r="M137" i="3"/>
  <c r="D160" i="3"/>
  <c r="H160" i="3"/>
  <c r="Q138" i="3"/>
  <c r="H161" i="3"/>
  <c r="M139" i="3"/>
  <c r="Q139" i="3"/>
  <c r="D162" i="3"/>
  <c r="H162" i="3"/>
  <c r="M140" i="3"/>
  <c r="Q140" i="3"/>
  <c r="D163" i="3"/>
  <c r="H163" i="3"/>
  <c r="M141" i="3"/>
  <c r="Q141" i="3"/>
  <c r="D164" i="3"/>
  <c r="M142" i="3"/>
  <c r="Q142" i="3"/>
  <c r="D165" i="3"/>
  <c r="H165" i="3"/>
  <c r="Q143" i="3"/>
  <c r="D166" i="3"/>
  <c r="H166" i="3"/>
  <c r="Q144" i="3"/>
  <c r="D167" i="3"/>
  <c r="A177" i="3"/>
  <c r="J155" i="3"/>
  <c r="D181" i="3"/>
  <c r="H181" i="3"/>
  <c r="M159" i="3"/>
  <c r="D182" i="3"/>
  <c r="H182" i="3"/>
  <c r="D183" i="3"/>
  <c r="H183" i="3"/>
  <c r="D184" i="3"/>
  <c r="H184" i="3"/>
  <c r="M162" i="3"/>
  <c r="D185" i="3"/>
  <c r="H185" i="3"/>
  <c r="M163" i="3"/>
  <c r="D186" i="3"/>
  <c r="H186" i="3"/>
  <c r="M164" i="3"/>
  <c r="H187" i="3"/>
  <c r="D188" i="3"/>
  <c r="H188" i="3"/>
  <c r="Q166" i="3"/>
  <c r="D189" i="3"/>
  <c r="A199" i="3"/>
  <c r="J177" i="3"/>
  <c r="D203" i="3"/>
  <c r="H203" i="3"/>
  <c r="M181" i="3"/>
  <c r="H204" i="3"/>
  <c r="D205" i="3"/>
  <c r="H205" i="3"/>
  <c r="H206" i="3"/>
  <c r="M184" i="3"/>
  <c r="D207" i="3"/>
  <c r="H207" i="3"/>
  <c r="M185" i="3"/>
  <c r="D208" i="3"/>
  <c r="H208" i="3"/>
  <c r="M186" i="3"/>
  <c r="D209" i="3"/>
  <c r="H209" i="3"/>
  <c r="Q187" i="3"/>
  <c r="D210" i="3"/>
  <c r="H210" i="3"/>
  <c r="Q188" i="3"/>
  <c r="D211" i="3"/>
  <c r="M189" i="3"/>
  <c r="J199" i="3"/>
  <c r="A67" i="44" s="1"/>
  <c r="D225" i="3"/>
  <c r="H225" i="3"/>
  <c r="M203" i="3"/>
  <c r="Q203" i="3"/>
  <c r="D226" i="3"/>
  <c r="H226" i="3"/>
  <c r="M204" i="3"/>
  <c r="Q204" i="3"/>
  <c r="D227" i="3"/>
  <c r="H227" i="3"/>
  <c r="M205" i="3"/>
  <c r="Q205" i="3"/>
  <c r="H228" i="3"/>
  <c r="M206" i="3"/>
  <c r="Q206" i="3"/>
  <c r="D229" i="3"/>
  <c r="H229" i="3"/>
  <c r="M207" i="3"/>
  <c r="Q207" i="3"/>
  <c r="D230" i="3"/>
  <c r="H230" i="3"/>
  <c r="M208" i="3"/>
  <c r="Q208" i="3"/>
  <c r="D231" i="3"/>
  <c r="H231" i="3"/>
  <c r="M209" i="3"/>
  <c r="Q209" i="3"/>
  <c r="D232" i="3"/>
  <c r="H232" i="3"/>
  <c r="M210" i="3"/>
  <c r="Q210" i="3"/>
  <c r="D233" i="3"/>
  <c r="M211" i="3"/>
  <c r="J221" i="3"/>
  <c r="D247" i="3"/>
  <c r="H247" i="3"/>
  <c r="D248" i="3"/>
  <c r="H248" i="3"/>
  <c r="D249" i="3"/>
  <c r="H249" i="3"/>
  <c r="D250" i="3"/>
  <c r="H250" i="3"/>
  <c r="D251" i="3"/>
  <c r="H251" i="3"/>
  <c r="D252" i="3"/>
  <c r="H252" i="3"/>
  <c r="D253" i="3"/>
  <c r="H253" i="3"/>
  <c r="D254" i="3"/>
  <c r="H254" i="3"/>
  <c r="D255" i="3"/>
  <c r="A67" i="47" l="1"/>
  <c r="J67" i="44"/>
  <c r="J45" i="44"/>
  <c r="A89" i="3"/>
  <c r="A133" i="3" s="1"/>
  <c r="Q168" i="3"/>
  <c r="Q102" i="3"/>
  <c r="A243" i="3"/>
  <c r="Q58" i="3"/>
  <c r="M234" i="3"/>
  <c r="M102" i="3"/>
  <c r="D168" i="3"/>
  <c r="M146" i="3"/>
  <c r="Q190" i="3"/>
  <c r="Q14" i="3"/>
  <c r="Q234" i="3"/>
  <c r="Q212" i="3"/>
  <c r="H168" i="3"/>
  <c r="Q36" i="3"/>
  <c r="H14" i="3"/>
  <c r="H256" i="3"/>
  <c r="D190" i="3"/>
  <c r="M58" i="3"/>
  <c r="M212" i="3"/>
  <c r="H190" i="3"/>
  <c r="Q146" i="3"/>
  <c r="H58" i="3"/>
  <c r="D58" i="3"/>
  <c r="M190" i="3"/>
  <c r="H212" i="3"/>
  <c r="H80" i="3"/>
  <c r="H102" i="3"/>
  <c r="M124" i="3"/>
  <c r="Q124" i="3"/>
  <c r="H234" i="3"/>
  <c r="M36" i="3"/>
  <c r="D80" i="3"/>
  <c r="D102" i="3"/>
  <c r="M168" i="3"/>
  <c r="D256" i="3"/>
  <c r="D234" i="3"/>
  <c r="D212" i="3"/>
  <c r="M14" i="3"/>
  <c r="D14" i="3"/>
  <c r="M103" i="3" l="1"/>
  <c r="L104" i="3" s="1"/>
  <c r="D15" i="3"/>
  <c r="C16" i="3" s="1"/>
  <c r="M213" i="3"/>
  <c r="L214" i="3" s="1"/>
  <c r="M169" i="3"/>
  <c r="L170" i="3" s="1"/>
  <c r="M59" i="3"/>
  <c r="L60" i="3" s="1"/>
  <c r="D169" i="3"/>
  <c r="C170" i="3" s="1"/>
  <c r="M147" i="3"/>
  <c r="L148" i="3" s="1"/>
  <c r="M191" i="3"/>
  <c r="L192" i="3" s="1"/>
  <c r="M37" i="3"/>
  <c r="L38" i="3" s="1"/>
  <c r="D59" i="3"/>
  <c r="C60" i="3" s="1"/>
  <c r="M235" i="3"/>
  <c r="L236" i="3" s="1"/>
  <c r="D213" i="3"/>
  <c r="C214" i="3" s="1"/>
  <c r="M15" i="3"/>
  <c r="L16" i="3" s="1"/>
  <c r="D257" i="3"/>
  <c r="C258" i="3" s="1"/>
  <c r="D191" i="3"/>
  <c r="C192" i="3" s="1"/>
  <c r="D81" i="3"/>
  <c r="C82" i="3" s="1"/>
  <c r="M125" i="3"/>
  <c r="L126" i="3" s="1"/>
  <c r="D235" i="3"/>
  <c r="C236" i="3" s="1"/>
  <c r="D103" i="3"/>
  <c r="C104" i="3" s="1"/>
  <c r="H52" i="44" l="1"/>
  <c r="H51" i="44"/>
  <c r="D51" i="44"/>
  <c r="H50" i="44"/>
  <c r="H49" i="44"/>
  <c r="H34" i="44"/>
  <c r="D27" i="44"/>
  <c r="H12" i="44"/>
  <c r="H11" i="44"/>
  <c r="D5" i="44"/>
  <c r="D14" i="44" l="1"/>
  <c r="H58" i="44"/>
  <c r="H36" i="44"/>
  <c r="D36" i="44"/>
  <c r="D58" i="44"/>
  <c r="M101" i="43"/>
  <c r="M100" i="43"/>
  <c r="M99" i="43"/>
  <c r="Q95" i="43"/>
  <c r="M95" i="43"/>
  <c r="Q94" i="43"/>
  <c r="M94" i="43"/>
  <c r="Q93" i="43"/>
  <c r="M93" i="43"/>
  <c r="M79" i="43"/>
  <c r="M78" i="43"/>
  <c r="M77" i="43"/>
  <c r="Q75" i="43"/>
  <c r="Q73" i="43"/>
  <c r="M73" i="43"/>
  <c r="Q72" i="43"/>
  <c r="M72" i="43"/>
  <c r="Q71" i="43"/>
  <c r="M71" i="43"/>
  <c r="M57" i="43"/>
  <c r="M56" i="43"/>
  <c r="Q51" i="43"/>
  <c r="M51" i="43"/>
  <c r="Q50" i="43"/>
  <c r="M50" i="43"/>
  <c r="Q49" i="43"/>
  <c r="M49" i="43"/>
  <c r="M35" i="43"/>
  <c r="M33" i="43"/>
  <c r="Q31" i="43"/>
  <c r="Q29" i="43"/>
  <c r="M29" i="43"/>
  <c r="Q28" i="43"/>
  <c r="M28" i="43"/>
  <c r="Q27" i="43"/>
  <c r="M27" i="43"/>
  <c r="M13" i="43"/>
  <c r="M12" i="43"/>
  <c r="M11" i="43"/>
  <c r="Q8" i="43"/>
  <c r="Q7" i="43"/>
  <c r="M7" i="43"/>
  <c r="D139" i="43"/>
  <c r="Q6" i="43"/>
  <c r="M6" i="43"/>
  <c r="D138" i="43"/>
  <c r="Q5" i="43"/>
  <c r="M5" i="43"/>
  <c r="D137" i="43"/>
  <c r="D123" i="43"/>
  <c r="D122" i="43"/>
  <c r="D121" i="43"/>
  <c r="H118" i="43"/>
  <c r="H117" i="43"/>
  <c r="D117" i="43"/>
  <c r="H116" i="43"/>
  <c r="D116" i="43"/>
  <c r="H115" i="43"/>
  <c r="D115" i="43"/>
  <c r="H98" i="43"/>
  <c r="H97" i="43"/>
  <c r="H96" i="43"/>
  <c r="H95" i="43"/>
  <c r="D95" i="43"/>
  <c r="H94" i="43"/>
  <c r="D94" i="43"/>
  <c r="H93" i="43"/>
  <c r="D93" i="43"/>
  <c r="D233" i="43"/>
  <c r="D79" i="43"/>
  <c r="D78" i="43"/>
  <c r="D231" i="43"/>
  <c r="D77" i="43"/>
  <c r="H229" i="43"/>
  <c r="H75" i="43"/>
  <c r="H228" i="43"/>
  <c r="H74" i="43"/>
  <c r="H227" i="43"/>
  <c r="D227" i="43"/>
  <c r="H73" i="43"/>
  <c r="D73" i="43"/>
  <c r="H226" i="43"/>
  <c r="D226" i="43"/>
  <c r="H72" i="43"/>
  <c r="D72" i="43"/>
  <c r="H225" i="43"/>
  <c r="D225" i="43"/>
  <c r="H71" i="43"/>
  <c r="D71" i="43"/>
  <c r="D57" i="43"/>
  <c r="D55" i="43"/>
  <c r="H54" i="43"/>
  <c r="H53" i="43"/>
  <c r="H52" i="43"/>
  <c r="H51" i="43"/>
  <c r="D51" i="43"/>
  <c r="H50" i="43"/>
  <c r="D50" i="43"/>
  <c r="H49" i="43"/>
  <c r="D49" i="43"/>
  <c r="D211" i="43"/>
  <c r="D35" i="43"/>
  <c r="D210" i="43"/>
  <c r="D34" i="43"/>
  <c r="D209" i="43"/>
  <c r="H206" i="43"/>
  <c r="H30" i="43"/>
  <c r="H205" i="43"/>
  <c r="D205" i="43"/>
  <c r="H29" i="43"/>
  <c r="D29" i="43"/>
  <c r="H204" i="43"/>
  <c r="D204" i="43"/>
  <c r="H28" i="43"/>
  <c r="D28" i="43"/>
  <c r="H203" i="43"/>
  <c r="D203" i="43"/>
  <c r="H27" i="43"/>
  <c r="D27" i="43"/>
  <c r="J89" i="43"/>
  <c r="H146" i="43" l="1"/>
  <c r="H80" i="43"/>
  <c r="H234" i="43"/>
  <c r="H58" i="43"/>
  <c r="H102" i="43"/>
  <c r="D146" i="43"/>
  <c r="Q14" i="43"/>
  <c r="H124" i="43"/>
  <c r="D58" i="43"/>
  <c r="H168" i="43"/>
  <c r="Q80" i="43"/>
  <c r="D102" i="43"/>
  <c r="D190" i="43"/>
  <c r="Q102" i="43"/>
  <c r="D234" i="43"/>
  <c r="H36" i="43"/>
  <c r="H212" i="43"/>
  <c r="D59" i="44"/>
  <c r="D37" i="44"/>
  <c r="C38" i="44" s="1"/>
  <c r="M14" i="43"/>
  <c r="M36" i="43"/>
  <c r="M102" i="43"/>
  <c r="D212" i="43"/>
  <c r="A177" i="43"/>
  <c r="A155" i="43"/>
  <c r="M58" i="43"/>
  <c r="H190" i="43"/>
  <c r="Q58" i="43"/>
  <c r="M80" i="43"/>
  <c r="D168" i="43"/>
  <c r="D36" i="43"/>
  <c r="D80" i="43"/>
  <c r="D124" i="43"/>
  <c r="A67" i="43"/>
  <c r="J67" i="43"/>
  <c r="A111" i="43"/>
  <c r="A221" i="3" s="1"/>
  <c r="A199" i="43"/>
  <c r="A23" i="43" s="1"/>
  <c r="J111" i="43" s="1"/>
  <c r="J199" i="43" s="1"/>
  <c r="A155" i="44" s="1"/>
  <c r="A45" i="43"/>
  <c r="A89" i="43"/>
  <c r="J1" i="43"/>
  <c r="A221" i="43"/>
  <c r="A133" i="43"/>
  <c r="J45" i="43"/>
  <c r="A45" i="44"/>
  <c r="J23" i="44" s="1"/>
  <c r="A133" i="44" l="1"/>
  <c r="A89" i="44"/>
  <c r="D147" i="43"/>
  <c r="J177" i="43"/>
  <c r="A111" i="44" s="1"/>
  <c r="D81" i="43"/>
  <c r="C82" i="43" s="1"/>
  <c r="J155" i="43"/>
  <c r="D235" i="43"/>
  <c r="C236" i="43" s="1"/>
  <c r="D59" i="43"/>
  <c r="D103" i="43"/>
  <c r="A23" i="44"/>
  <c r="J1" i="44" s="1"/>
  <c r="D37" i="43"/>
  <c r="D125" i="43"/>
  <c r="C126" i="43" s="1"/>
  <c r="J23" i="43"/>
  <c r="J133" i="43"/>
  <c r="A1" i="46" s="1"/>
  <c r="A1" i="44"/>
  <c r="D169" i="43"/>
  <c r="C170" i="43" s="1"/>
  <c r="C60" i="44"/>
  <c r="D191" i="43"/>
  <c r="C192" i="43" s="1"/>
  <c r="Q36" i="43"/>
  <c r="D213" i="43"/>
  <c r="C214" i="43" s="1"/>
  <c r="A177" i="44" l="1"/>
  <c r="C60" i="43"/>
  <c r="C38" i="43"/>
  <c r="M37" i="43" l="1"/>
  <c r="L38" i="43" s="1"/>
  <c r="M15" i="43"/>
  <c r="L16" i="43" s="1"/>
  <c r="C148" i="43"/>
  <c r="C104" i="43"/>
  <c r="H14" i="44"/>
  <c r="D15" i="44" s="1"/>
  <c r="C16" i="44" s="1"/>
  <c r="M81" i="43"/>
  <c r="L82" i="43" s="1"/>
  <c r="M59" i="43"/>
  <c r="L60" i="43" s="1"/>
  <c r="M103" i="43"/>
  <c r="L104" i="43" s="1"/>
  <c r="A23" i="37" l="1"/>
  <c r="A89" i="37" s="1"/>
  <c r="A155" i="37" s="1"/>
  <c r="A221" i="37" s="1"/>
  <c r="A287" i="37" s="1"/>
  <c r="A353" i="37" s="1"/>
  <c r="H28" i="3" l="1"/>
  <c r="H36" i="3" s="1"/>
  <c r="D37" i="3" s="1"/>
  <c r="C38" i="3" s="1"/>
</calcChain>
</file>

<file path=xl/sharedStrings.xml><?xml version="1.0" encoding="utf-8"?>
<sst xmlns="http://schemas.openxmlformats.org/spreadsheetml/2006/main" count="5108" uniqueCount="672">
  <si>
    <t>รายละเอียดเงินเดือนข้าราชการ โรงพยาบาลสามโคก</t>
  </si>
  <si>
    <t>ชื่อ - นามสกุล</t>
  </si>
  <si>
    <t>ตำแหน่ง</t>
  </si>
  <si>
    <t>เงินเดือน</t>
  </si>
  <si>
    <t>เงินตำแหน่ง</t>
  </si>
  <si>
    <t>ตกเบิกเงินเดือน</t>
  </si>
  <si>
    <t>ค่าการศึกษาบุตร</t>
  </si>
  <si>
    <t>ค่ารักษาพยาบาล</t>
  </si>
  <si>
    <t>ที่</t>
  </si>
  <si>
    <t>รายรับ</t>
  </si>
  <si>
    <t>รายจ่าย</t>
  </si>
  <si>
    <t>คลับคล้าย</t>
  </si>
  <si>
    <t>นางภคณี</t>
  </si>
  <si>
    <t>น.ส.บังอร</t>
  </si>
  <si>
    <t>ศรีไตรภพ</t>
  </si>
  <si>
    <t>นางนิติธร</t>
  </si>
  <si>
    <t>ศรียะพันธ์</t>
  </si>
  <si>
    <t>วาสะประเสริฐ</t>
  </si>
  <si>
    <t>นายรุจนพล</t>
  </si>
  <si>
    <t>นางระวิวรรรณ</t>
  </si>
  <si>
    <t>นายดนัย</t>
  </si>
  <si>
    <t>นางสิริพักตร์</t>
  </si>
  <si>
    <t>นางวิริยา</t>
  </si>
  <si>
    <t>นางสนธยา</t>
  </si>
  <si>
    <t>นางศิริวรรณ</t>
  </si>
  <si>
    <t>ปิยะพันธ์</t>
  </si>
  <si>
    <t>น.ส.จีรวัจน์</t>
  </si>
  <si>
    <t>ฤทธิรณ</t>
  </si>
  <si>
    <t>นางวิภาวรรณ</t>
  </si>
  <si>
    <t>นิ่มเดช</t>
  </si>
  <si>
    <t>ยิ้มอ่อน</t>
  </si>
  <si>
    <t>นางรักษ์สินี</t>
  </si>
  <si>
    <t>ชอบดี</t>
  </si>
  <si>
    <t>นางปัทมาพร</t>
  </si>
  <si>
    <t>อ่านเปรื่อง</t>
  </si>
  <si>
    <t>น.ส.อรอุมา</t>
  </si>
  <si>
    <t>เกิดภาษี</t>
  </si>
  <si>
    <t>น.ส.พจนา</t>
  </si>
  <si>
    <t>พวงธรรม</t>
  </si>
  <si>
    <t>นางพรทิพย์</t>
  </si>
  <si>
    <t>นางวิภาพร</t>
  </si>
  <si>
    <t>มีทา</t>
  </si>
  <si>
    <t>นางอรุณรัตน์</t>
  </si>
  <si>
    <t>ภควัตชัย</t>
  </si>
  <si>
    <t>นางจิตวรินทร์</t>
  </si>
  <si>
    <t>สิทธิโท</t>
  </si>
  <si>
    <t>นายแพทย์</t>
  </si>
  <si>
    <t>พ.วิชาชีพ</t>
  </si>
  <si>
    <t>ทันตแพทย์</t>
  </si>
  <si>
    <t>จพง.ทันต</t>
  </si>
  <si>
    <t>จพง.รังสี</t>
  </si>
  <si>
    <t>เภสัชกร</t>
  </si>
  <si>
    <t>ภาษี</t>
  </si>
  <si>
    <t>กบข.</t>
  </si>
  <si>
    <t>สหกรณ์</t>
  </si>
  <si>
    <t>ออมสิน</t>
  </si>
  <si>
    <t>ไฟฟ้า</t>
  </si>
  <si>
    <t>ประปา</t>
  </si>
  <si>
    <t>รวมทั้งสิ้น</t>
  </si>
  <si>
    <t>รับจริง</t>
  </si>
  <si>
    <t>ยอดยกไป</t>
  </si>
  <si>
    <t>ยอดยกมา</t>
  </si>
  <si>
    <t>นางวรรณา</t>
  </si>
  <si>
    <t>ถนอมงาม</t>
  </si>
  <si>
    <t>พนง.ช่วยเหลือคนไข้</t>
  </si>
  <si>
    <t>นักเทคนิคการแพทย์</t>
  </si>
  <si>
    <t>น.ส.สุมาลี</t>
  </si>
  <si>
    <t>เสือเพชร</t>
  </si>
  <si>
    <t>รายละเอียดเงินเดือนค่าจ้างประจำ  โรงพยาบาลสามโคก</t>
  </si>
  <si>
    <t>รายละเอียดเงินเดือนพนักงานราชการ  โรงพยาบาลสามโคก</t>
  </si>
  <si>
    <t>นวก.การเงินและบัญชี</t>
  </si>
  <si>
    <t>รายละเอียดเงินเดือนลูกจ้างชั่วคราวรายเดือน  โรงพยาบาลสามโคก</t>
  </si>
  <si>
    <t xml:space="preserve">น.ส.เรณุกา   </t>
  </si>
  <si>
    <t>นักจัดการงานทั่วไป</t>
  </si>
  <si>
    <t xml:space="preserve">น.ส.อมรรัตน์   </t>
  </si>
  <si>
    <t>นายวีรชัย</t>
  </si>
  <si>
    <t>มงคลธง</t>
  </si>
  <si>
    <t>น.ส.เบญจวรรณ</t>
  </si>
  <si>
    <t>สุขชูศรี</t>
  </si>
  <si>
    <t xml:space="preserve">นายสัญญา   </t>
  </si>
  <si>
    <t xml:space="preserve">น.ส.วิราภรณ์    </t>
  </si>
  <si>
    <t>น.ส.นงลักษณ์</t>
  </si>
  <si>
    <t>พวงศิลป์</t>
  </si>
  <si>
    <t xml:space="preserve">น.ส.ธัญญารัตน์  </t>
  </si>
  <si>
    <t>เฉียดจะโป๊ะ</t>
  </si>
  <si>
    <t>นางนุชรา</t>
  </si>
  <si>
    <t>ชักชวน</t>
  </si>
  <si>
    <t>แสนศรี</t>
  </si>
  <si>
    <t>น.ส.วินา</t>
  </si>
  <si>
    <t>จันสด</t>
  </si>
  <si>
    <t xml:space="preserve">น.ส.ศศิกร  </t>
  </si>
  <si>
    <t>ไตลังคะ</t>
  </si>
  <si>
    <t>น.ส.ผกาพรรณ</t>
  </si>
  <si>
    <t>พรรณพลีวรรณ</t>
  </si>
  <si>
    <t>นักกายภาพบำบัด</t>
  </si>
  <si>
    <t>นายวีระพงษ์</t>
  </si>
  <si>
    <t>อ่างแก้ว</t>
  </si>
  <si>
    <t>น.ส.ทิพาพร</t>
  </si>
  <si>
    <t>ดนตรีเสนาะ</t>
  </si>
  <si>
    <t xml:space="preserve">ภาษี </t>
  </si>
  <si>
    <t>ฌาปณกิจสงเคราะห์</t>
  </si>
  <si>
    <t>รวมรับ</t>
  </si>
  <si>
    <t>รวมจ่าย</t>
  </si>
  <si>
    <t>คงเหลือสุทธิ</t>
  </si>
  <si>
    <t>บาท</t>
  </si>
  <si>
    <t>ค่าตอบแทน พตส.</t>
  </si>
  <si>
    <t>เงินประจำตำแหน่ง/เท่าตำแหน่ง</t>
  </si>
  <si>
    <t>เงินเพิ่มพิเศษไม่ทำเวชปฏิบัติ</t>
  </si>
  <si>
    <t>เงินเพิ่มพิเศษ
ไม่ทำเวชปฏิบัติ</t>
  </si>
  <si>
    <t>ปกส.</t>
  </si>
  <si>
    <t>นางกิตติยา</t>
  </si>
  <si>
    <t>พนักงานซักฟอก</t>
  </si>
  <si>
    <t>พนักงานประจำห้องยา</t>
  </si>
  <si>
    <t>พนักงานธุรการ</t>
  </si>
  <si>
    <t>ผู้ช่วยทันตแพทย์</t>
  </si>
  <si>
    <t>กสจ.</t>
  </si>
  <si>
    <t>ประกันสังคม</t>
  </si>
  <si>
    <t>รวมรายรับ</t>
  </si>
  <si>
    <t>รวมรายจ่าย</t>
  </si>
  <si>
    <t xml:space="preserve">ค่าตอบแทนนอกเวลาราชการ </t>
  </si>
  <si>
    <t>ค่าตอบแทนนอกเวลาราชการ</t>
  </si>
  <si>
    <t>ชื่อ  นางสาวเรณุกา  อุบลพงษ์          ตำแหน่ง  นักจัดการงานทั่วไป</t>
  </si>
  <si>
    <t>ชื่อ  นางสาวเบญจวรรณ  สุขชูศรี          ตำแหน่ง  พนักงานช่วยเหลือคนไข้</t>
  </si>
  <si>
    <t>ชื่อ  นายสัญญา  แย้มดี       ตำแหน่ง  พนักงานช่วยเหลือคนไข้</t>
  </si>
  <si>
    <t>ชื่อ  นางสาววิราภรณ์  มงคลธง          ตำแหน่ง  นักวิชาการเงินและบัญชี</t>
  </si>
  <si>
    <t>ชื่อ  นางสาวธัญญารัตน์  เฉียดจะโป๊ะ          ตำแหน่ง  พนักงานช่วยเหลือคนไข้</t>
  </si>
  <si>
    <t>ชื่อ  นางนุชรา  ชักชวน      ตำแหน่ง  พนักงานประจำห้องยา</t>
  </si>
  <si>
    <t>ชื่อ  นางสาวจรัสศรี  แสนศรี       ตำแหน่ง  พนักงานธุรการ</t>
  </si>
  <si>
    <t>ชื่อ  นางสาววินา  จันสด          ตำแหน่ง ผู้ช่วยทันตแพทย์</t>
  </si>
  <si>
    <t>ชื่อ  นางสาวศศิกร  ไตลังคะ        ตำแหน่ง  พนักงานช่วยเหลือคนไข้</t>
  </si>
  <si>
    <t xml:space="preserve">ค่าตอบแทน พตส. </t>
  </si>
  <si>
    <t>ชื่อ  นายวีรชัย  มงคลธง         ตำแหน่ง  นักวิชาการเงินและบัญชี</t>
  </si>
  <si>
    <t>ชื่อ  นางสินีนาฏ  เขียวระยับ         ตำแหน่ง  นักวิชาการเงินและบัญชี</t>
  </si>
  <si>
    <t xml:space="preserve">นางสินีนาฎ </t>
  </si>
  <si>
    <t>เขียวระยับ</t>
  </si>
  <si>
    <t>รายละเอียดเงินเดือนลูกจ้างชั่วคราวรายวัน  โรงพยาบาลสามโคก</t>
  </si>
  <si>
    <t xml:space="preserve">ตกเบิกเงินเดือน </t>
  </si>
  <si>
    <t>กรุงไทย</t>
  </si>
  <si>
    <t>น.ส.จรัสศรี</t>
  </si>
  <si>
    <t>รายละเอียดเงินเดือนพนักงานกระทรวงสาธารณสุข  โรงพยาบาลสามโคก</t>
  </si>
  <si>
    <t xml:space="preserve">เงินเพิ่มพิเศษไม่ทำเวชปฏิบัติ </t>
  </si>
  <si>
    <t>อมรลักษณานนท์</t>
  </si>
  <si>
    <t>พงษ์สีทอง</t>
  </si>
  <si>
    <t>โพธิ์ทองคำ</t>
  </si>
  <si>
    <t>บางชวด</t>
  </si>
  <si>
    <t>สุขสอาด</t>
  </si>
  <si>
    <t>มาตรา</t>
  </si>
  <si>
    <t>เชี่ยวชาญชำนาญกิจ</t>
  </si>
  <si>
    <t xml:space="preserve">น.ส.พิรดา  </t>
  </si>
  <si>
    <t>วงศ์ซื่อ</t>
  </si>
  <si>
    <t>น.ส.อรุณศรี</t>
  </si>
  <si>
    <t>อดิเรก</t>
  </si>
  <si>
    <t>จพง.เภสัชกรรม</t>
  </si>
  <si>
    <t>น.ส.ปวีณ์สุดา</t>
  </si>
  <si>
    <t>จันทรประยงค์</t>
  </si>
  <si>
    <t>น.ส.สุดารัตน์</t>
  </si>
  <si>
    <t>จั่นจำรูญ</t>
  </si>
  <si>
    <t>น.ส.รจนา</t>
  </si>
  <si>
    <t>สาสาร</t>
  </si>
  <si>
    <t>น.ส.มณีวรรณ</t>
  </si>
  <si>
    <t>สมบัติมี</t>
  </si>
  <si>
    <t>น.ส.ปาจรีย์</t>
  </si>
  <si>
    <t>เยื่อปุย</t>
  </si>
  <si>
    <t>น.ส.ธาริณี</t>
  </si>
  <si>
    <t>เขมะวานิช</t>
  </si>
  <si>
    <t>พนักงานบริการ</t>
  </si>
  <si>
    <t>พนักงานพัสดุ</t>
  </si>
  <si>
    <t>พนักงานทั่วไป</t>
  </si>
  <si>
    <t>แย้มดี</t>
  </si>
  <si>
    <t>อุบลพงษ์</t>
  </si>
  <si>
    <t xml:space="preserve">เงินเพิ่มพิเศษ
ไม่ทำเวชปฏิบัติ </t>
  </si>
  <si>
    <t>พนักงานขับรถยนต์</t>
  </si>
  <si>
    <t>ชื่อ  นางสาวสุมาลี  เสือเพชร          ตำแหน่ง  นักวิชาการเงินและบัญชี</t>
  </si>
  <si>
    <t>ชื่อ  นางวรรณา  ถนอมงาม          ตำแหน่ง  พนักงานพัสดุ</t>
  </si>
  <si>
    <t>น.ส.เยาวพา</t>
  </si>
  <si>
    <t>ทองพยงค์</t>
  </si>
  <si>
    <t>แพทย์แผนไทย</t>
  </si>
  <si>
    <t>น.ส.อัฉรา</t>
  </si>
  <si>
    <t>เรืองเพ็ชร์</t>
  </si>
  <si>
    <t>พนักงานช่วยเหลือคนไข้</t>
  </si>
  <si>
    <t>น.ส.สำรวย</t>
  </si>
  <si>
    <t>ทั่งรื่น</t>
  </si>
  <si>
    <t>ชื่อ  นางสาวอมรรัตน์  บุตรเรือง          ตำแหน่ง  นักวิชาการเงินและบัญชี</t>
  </si>
  <si>
    <t>นางณัฐพร</t>
  </si>
  <si>
    <t>คล่องขยัน</t>
  </si>
  <si>
    <t>น.ส.จิตรวดี</t>
  </si>
  <si>
    <t>วิโรจน์</t>
  </si>
  <si>
    <t>ฎีกาที่</t>
  </si>
  <si>
    <t>รายการ</t>
  </si>
  <si>
    <t>เบิก</t>
  </si>
  <si>
    <t>หัก</t>
  </si>
  <si>
    <t>จำนวน</t>
  </si>
  <si>
    <t>สสจ.โอนเงิน</t>
  </si>
  <si>
    <t>-</t>
  </si>
  <si>
    <t>สหกรณ์ออมทรัพย์สาธารณสุขปทุมธานี</t>
  </si>
  <si>
    <t>kl</t>
  </si>
  <si>
    <t>ฌกส.  (ฌาปนกิจสงเคราะห์ของกระทรวงสาธารณสุข)</t>
  </si>
  <si>
    <t>เข้าบัญชีเจ้าหน้าที่  (บัญชีข้าราชการ/ลูกจ้าง)</t>
  </si>
  <si>
    <t>สินเชื่อสวัสดิการธนาคารออมสิน สาขาปทุมธานี</t>
  </si>
  <si>
    <t xml:space="preserve"> </t>
  </si>
  <si>
    <t>สินเชื่อสวัสดิการธนาคารออมสิน สาขาทียูโดม รังสิต</t>
  </si>
  <si>
    <t>สินเชื่อสวัสดิการธนาคารกรุงไทย สาขาอำเภอสามโคก</t>
  </si>
  <si>
    <t>เท่ากับ 0  แปลว่าตรง</t>
  </si>
  <si>
    <t>หมายเหตุ</t>
  </si>
  <si>
    <t>กลุ่ม  000001  (เงินเดือน+ค่าจ้างลูกจ้าง)</t>
  </si>
  <si>
    <t>รวมใบขวาง</t>
  </si>
  <si>
    <t>รวมน้ำไฟ+ปกส.</t>
  </si>
  <si>
    <t>ยอดที่นำเข้าบัญชีทั้งหมด  คือ</t>
  </si>
  <si>
    <t>เงินบำรุงกรุงไทย</t>
  </si>
  <si>
    <t>กสล.พกส.</t>
  </si>
  <si>
    <t>กองทุนสำรองเลี้ยงชีพ พนักงานกระทรวงสาธารณสุข ซึ่งจดทะเบียนแล้ว</t>
  </si>
  <si>
    <t>น.ส.นิตยา</t>
  </si>
  <si>
    <t>สารีกิจ</t>
  </si>
  <si>
    <t>กองทุนสำรองเลี้ยงชีพ พนักงานกระทรวงสาธารณสุข</t>
  </si>
  <si>
    <t>ฌกส.</t>
  </si>
  <si>
    <t>น.ส.อริศรา</t>
  </si>
  <si>
    <t>ฉะอ้อน</t>
  </si>
  <si>
    <t>อื่นๆ</t>
  </si>
  <si>
    <t>รายละเอียดเงินเดือน  โรงพยาบาลสามโคก</t>
  </si>
  <si>
    <t>นายประกาศ</t>
  </si>
  <si>
    <t>เปล่งพานิชย์</t>
  </si>
  <si>
    <t xml:space="preserve">สรุปการรับ - จ่ายเงินเข้าบัญชี </t>
  </si>
  <si>
    <t>ประจำเดือน</t>
  </si>
  <si>
    <t>น.ส.ศิรินทรา</t>
  </si>
  <si>
    <t>บุญคำภา</t>
  </si>
  <si>
    <t>ธรรมศักดิ์ชัย</t>
  </si>
  <si>
    <t>น.ส.วิลาวัณย์</t>
  </si>
  <si>
    <t>คล้ายประสิทธิ์</t>
  </si>
  <si>
    <t>ชื่อ  นางสาววิลาวัณย์  คล้ายประสิทธิ์     ตำแหน่ง  พนักงานช่วยเหลือคนไข้</t>
  </si>
  <si>
    <t>น.ส.พรปรียา</t>
  </si>
  <si>
    <t>สาไธสง</t>
  </si>
  <si>
    <t>พิพานเมฆาภรณ์</t>
  </si>
  <si>
    <t>นักวิชาการสาธารณสุข</t>
  </si>
  <si>
    <t>น.ส.พรสิริ</t>
  </si>
  <si>
    <t>เวียงอินทร์</t>
  </si>
  <si>
    <t>พนักงานเครื่องคอมพิวเตอร์</t>
  </si>
  <si>
    <t>น.ส.พรปวีณ์</t>
  </si>
  <si>
    <t>ศรีโสภณ</t>
  </si>
  <si>
    <t>พนักงานพิมพ์</t>
  </si>
  <si>
    <t xml:space="preserve">                 ชื่อ  นางสาวนิตยา  สารีกิจ          ตำแหน่ง  พยาบาลวิชาชีพปฏิบัติการ </t>
  </si>
  <si>
    <t xml:space="preserve">ชื่อ  นางระวิวรรณ  โพธิ์ทองคำ          ตำแหน่ง  เจ้าพนักงานทันตสาธารณสุขชำนาญงาน  </t>
  </si>
  <si>
    <t>ชื่อ  นางนิติธร  ศรียะพันธ์          ตำแหน่ง  ทันตแพทย์ชำนาญการพิเศษ</t>
  </si>
  <si>
    <t>ชื่อ  นางสาวบังอร  ศรีไตรภพ          ตำแหน่ง  นายแพทย์ชำนาญการ</t>
  </si>
  <si>
    <t xml:space="preserve">ชื่อ  นางสิริพักตร์  สุขสอาด          ตำแหน่ง  เจ้าพนักงานรังสีการแพทย์ชำนาญงาน  </t>
  </si>
  <si>
    <t>ชื่อ  นางวิริยา  มาตรา          ตำแหน่ง  เภสัชกรชำนาญการ</t>
  </si>
  <si>
    <t>ชื่อ  นางจิตวรินทร์  สิทธิโท          ตำแหน่ง  พยาบาลวิชาชีพชำนาญการ</t>
  </si>
  <si>
    <t>ชื่อ  นางศิริวรรณ  ปิยะพันธ์          ตำแหน่ง  พยาบาลวิชาชีพชำนาญการ</t>
  </si>
  <si>
    <t>ชื่อ  นางวิภาวรรณ  นิ่มเดช          ตำแหน่ง  พยาบาลวิชาชีพชำนาญการ</t>
  </si>
  <si>
    <t xml:space="preserve">ชื่อ  นางสาวจีรวัจน์  ฤทธิรณ         ตำแหน่ง  พยาบาลวิชาชีพชำนาญการ </t>
  </si>
  <si>
    <t>ชื่อ  นางกิตติยา  คลับคล้าย          ตำแหน่ง  พยาบาลวิชาชีพชำนาญการ</t>
  </si>
  <si>
    <t>ชื่อ  นางวิภาพร  มีทา          ตำแหน่ง  พยาบาลวิชาชีพชำนาญการ</t>
  </si>
  <si>
    <t>ชื่อ  นางสาวอรอุมา  เกิดภาษี          ตำแหน่ง  พยาบาลวิชาชีพชำนาญการ</t>
  </si>
  <si>
    <t>ชื่อ  นางสาวผกาพรรณ  พรรณพลีวรรณ          ตำแหน่ง  พยาบาลวิชาชีพปฏิบัติการ</t>
  </si>
  <si>
    <t>ชื่อ  นางสาวปวีณ์สุดา  จันทรประยงค์          ตำแหน่ง  พยาบาลวิชาชีพปฏิบัติการ</t>
  </si>
  <si>
    <t>ชื่อ  นางสาวรจนา  สาสาร          ตำแหน่ง  พยาบาลวิชาชีพปฏิบัติการ</t>
  </si>
  <si>
    <t>ชื่อ  นางสาวยุวดี  พิพานเมฆาภรณ์         ตำแหน่ง  เภสัชกรชำนาญการ</t>
  </si>
  <si>
    <t>นายเพชร</t>
  </si>
  <si>
    <t>บัวบาน</t>
  </si>
  <si>
    <t>นางประเสริฐศรี</t>
  </si>
  <si>
    <t>พวงผกา</t>
  </si>
  <si>
    <t>คุ้มเรือง</t>
  </si>
  <si>
    <t>นางเสาวรัตน์</t>
  </si>
  <si>
    <t>เฮงยศมาก</t>
  </si>
  <si>
    <t xml:space="preserve">ประกันสังคม </t>
  </si>
  <si>
    <t>เข้าบัญชี  รพ.สามโคก</t>
  </si>
  <si>
    <t>น.ส.พัชภาพร</t>
  </si>
  <si>
    <t xml:space="preserve">ชื่อ  นางสาวพัชภาพร  คุ้มเรือง          ตำแหน่ง  เจ้าพนักงานทันตสาธารณสุขปฏิบัติงาน  </t>
  </si>
  <si>
    <t>ชื่อ  นางสาววันวิลัย  เวฬุวนารักษ์        ตำแหน่ง  ผู้ช่วยทันตแพทย์</t>
  </si>
  <si>
    <t>เวฬุวนารักษ์</t>
  </si>
  <si>
    <t>น.ส.วันวิลัย</t>
  </si>
  <si>
    <t>น.ส.กรรณิการ์</t>
  </si>
  <si>
    <t>แสงมีคุณ</t>
  </si>
  <si>
    <t>ชื่อ  นางสาวจิตรวดี  วิโรจน์          ตำแหน่ง  พยาบาลวิชาชีพชำนาญการ</t>
  </si>
  <si>
    <t>น.ส.อัญพิชญ์</t>
  </si>
  <si>
    <t>บุตรเรือง</t>
  </si>
  <si>
    <t>น.ส.น้ำฝน</t>
  </si>
  <si>
    <t>ชื่อ  นางสาวอัญพิชญ์  วาสะประเสริฐ          ตำแหน่ง  ทันตแพทย์ชำนาญการพิเศษ</t>
  </si>
  <si>
    <t>น.ส.จิรวรรณ</t>
  </si>
  <si>
    <t>เยี่ยมจรรยา</t>
  </si>
  <si>
    <t>พนักงานประจำห้องทดลอง</t>
  </si>
  <si>
    <t>วงษ์เพ็ง</t>
  </si>
  <si>
    <t>ชื่อ  นางสาวจิรวรรณ  เยี่ยมจรรยา       ตำแหน่ง  พนักงานประจำห้องยา</t>
  </si>
  <si>
    <t>น.ส.บุษบง</t>
  </si>
  <si>
    <t>ดรบุรมย์</t>
  </si>
  <si>
    <t>น.ส.กิติยาพร</t>
  </si>
  <si>
    <t>โพธิ์ทอง</t>
  </si>
  <si>
    <t>น.ส.พิทยาภรณ์</t>
  </si>
  <si>
    <t>เจริญสุข</t>
  </si>
  <si>
    <t>นายวัชรากร</t>
  </si>
  <si>
    <t>สถานพงษ์</t>
  </si>
  <si>
    <t>ชื่อ  นางสาวทิพาพร  ดนตรีเสนาะ          ตำแหน่ง  พยาบาลวิชาชีพปฏิบัติการ</t>
  </si>
  <si>
    <t xml:space="preserve">ค่าตอบแทน ฉ.11 </t>
  </si>
  <si>
    <t xml:space="preserve">      </t>
  </si>
  <si>
    <t>ชื่อ  นางสาวสุดารัตน์  จั่นจำรูญ          ตำแหน่ง  พยาบาลวิชาชีพชำนาญการ</t>
  </si>
  <si>
    <t>ชื่อ  นางสาวมณีวรรณ  สมบัติมี        ตำแหน่ง  พยาบาลวิชาชีพชำนาญการ</t>
  </si>
  <si>
    <t>นางศรัณย์ธร</t>
  </si>
  <si>
    <t>ครุฑสิน</t>
  </si>
  <si>
    <t>ชื่อ  นางสาวพิทยาภรณ์  เจริญสุข         ตำแหน่ง  แพทย์แผนไทย</t>
  </si>
  <si>
    <t>นักจัดการงานทั่วไปปฏิบัติการ</t>
  </si>
  <si>
    <t>น.ส.ชัญญา</t>
  </si>
  <si>
    <t>มุขศรี</t>
  </si>
  <si>
    <t>นักเทคนิคฯ</t>
  </si>
  <si>
    <t>เงินเดือนรายวัน</t>
  </si>
  <si>
    <t>ชื่อ  นางสาวกิติยาพร  โพธิ์ทอง       ตำแหน่ง  พนักงานช่วยเหลือคนไข้</t>
  </si>
  <si>
    <t>ชื่อ  นางสาวปาจรีย์  เยื่อปุย          ตำแหน่ง  พยาบาลวิชาชีพชำนาญการ</t>
  </si>
  <si>
    <t>ชื่อ  นางอรุณรัตน์  ภควัตชัย          ตำแหน่ง  พยาบาลวิชาชีพชำนาญการ</t>
  </si>
  <si>
    <t>ชื่อ  นางสาวศิรินทรา  บุญคำภา         ตำแหน่ง  ทันตแพทย์ชำนาญการพิเศษ</t>
  </si>
  <si>
    <t>การเก่ง</t>
  </si>
  <si>
    <t>พนักงานเปล</t>
  </si>
  <si>
    <t>พนักงานการแพทย์และรังสีเทคนิค</t>
  </si>
  <si>
    <t>ชื่อ  นางสาวอรุณศรี  อดิเรก          ตำแหน่ง  เจ้าพนักงานเภสัชกรรมชำนาญงาน</t>
  </si>
  <si>
    <t>น.ส.ปรารถนา</t>
  </si>
  <si>
    <t>พรรณอรรถ</t>
  </si>
  <si>
    <t>น.ส.อรญา</t>
  </si>
  <si>
    <t>แก้วตา</t>
  </si>
  <si>
    <t>(นางสาวพนิดา  พลนงค์)</t>
  </si>
  <si>
    <t>ชื่อ  นางสาวอรญา  แก้วตา         ตำแหน่ง  นักวิชาการสาธารณสุข</t>
  </si>
  <si>
    <t>น.ส.พนิดา</t>
  </si>
  <si>
    <t>พลนงค์</t>
  </si>
  <si>
    <t>น.ส.ณัฐทิตา</t>
  </si>
  <si>
    <t>จันทรเกษมศุก</t>
  </si>
  <si>
    <t>พนักงานประกอบอาหาร</t>
  </si>
  <si>
    <t>ชื่อ  นางสาวพนิดา  พลนงค์          ตำแหน่ง  นักจัดการงานทั่วไปปฏิบัติการ</t>
  </si>
  <si>
    <t xml:space="preserve">ชื่อ  นางสาวรุ่งนภา  พงษ์สีทอง          ตำแหน่ง  เจ้าพนักงานทันตสาธารณสุขชำนาญงาน  </t>
  </si>
  <si>
    <t>ชื่อ  นายประกาศ  เปล่งพานิชย์</t>
  </si>
  <si>
    <t>นวก.สาธารณสุข</t>
  </si>
  <si>
    <t>ชื่อ  นางสาวเยาวพา  ทองพยงค์      ตำแหน่ง  พยาบาลวิชาชีพปฏิบัติการ</t>
  </si>
  <si>
    <t>ชื่อ  นายเพชร  บัวบาน         ตำแหน่ง  นักวิชาการสาธารณสุขปฏิบัติการ</t>
  </si>
  <si>
    <t>พยาบาลวิชาชีพ</t>
  </si>
  <si>
    <t>น.ส.วชิรา</t>
  </si>
  <si>
    <t>โตสัจจะ</t>
  </si>
  <si>
    <t>ชื่อ  นางสาวอริศรา  ฉะอ้อน         ตำแหน่ง  นักโภชนาการปฏิบัติการ</t>
  </si>
  <si>
    <t>อินทรขลิบ</t>
  </si>
  <si>
    <t>นางหวาน</t>
  </si>
  <si>
    <t>ตรีครุธพันธ์</t>
  </si>
  <si>
    <t>ชื่อ  นางสาวกรรณิการ์  แสงมีคุณ        ตำแหน่ง  พนักงานบริการ</t>
  </si>
  <si>
    <t xml:space="preserve">น.ส.ยุวดี  </t>
  </si>
  <si>
    <t>นักโภชนาการ</t>
  </si>
  <si>
    <t>น.ส.ธันยา</t>
  </si>
  <si>
    <t>น้ำจันทร์เจริญ</t>
  </si>
  <si>
    <t>แม่บ้าน</t>
  </si>
  <si>
    <t>น.ส.วารุณี</t>
  </si>
  <si>
    <t>สอนมาลา</t>
  </si>
  <si>
    <t>ชื่อ  นางหวาน  ตรีครุธพันธ์         ตำแหน่ง  แม่บ้าน</t>
  </si>
  <si>
    <t>ชื่อ  นางสาวบังอร  ตรีครุธพันธ์         ตำแหน่ง  แม่บ้าน</t>
  </si>
  <si>
    <t>ชื่อ  นางสาววารุณี  สอนมาลา         ตำแหน่ง  แม่บ้าน</t>
  </si>
  <si>
    <t>นางปิยะวรรณ</t>
  </si>
  <si>
    <t>เพียรภายลุน</t>
  </si>
  <si>
    <t>นายธรรมรัฐ</t>
  </si>
  <si>
    <t>บัวหลวง</t>
  </si>
  <si>
    <t>ชื่อ  นางสาวสำรวย  ทั่งรื่น          ตำแหน่ง  เจ้าพนักงานเภสัชกรรมชำนาญงาน</t>
  </si>
  <si>
    <t>ชื่อ  นางประเสริฐศรี  พวงผกา        ตำแหน่ง  พนักงานซักฟอก</t>
  </si>
  <si>
    <t>ชื่อ  นางสาวน้ำฝน  วงษ์เพ็ง</t>
  </si>
  <si>
    <t>น.ส.พรนภา</t>
  </si>
  <si>
    <t>ภูน้ำเย็น</t>
  </si>
  <si>
    <t xml:space="preserve">   </t>
  </si>
  <si>
    <t>ทองสุข</t>
  </si>
  <si>
    <t>น.ส.ศิริรัตน์</t>
  </si>
  <si>
    <t>ส่องแสง</t>
  </si>
  <si>
    <t>นายศุภมิตร</t>
  </si>
  <si>
    <t>มีผล</t>
  </si>
  <si>
    <t>ชื่อ  นายปรีดา  การเก่ง          ตำแหน่ง  พนักงานช่วยเหลือคนไข้</t>
  </si>
  <si>
    <t>นายปรีดา</t>
  </si>
  <si>
    <t>น.ส.รสิตา</t>
  </si>
  <si>
    <t>ชื่อ  นางสาวรสิตา  พรรณอรรถ         ตำแหน่ง  นักจิตวิทยา</t>
  </si>
  <si>
    <t>มหามนต์</t>
  </si>
  <si>
    <t>นาประดิษฐ</t>
  </si>
  <si>
    <t>ชื่อ  นางสาวกัลยารัตน์  มหามนต์         ตำแหน่ง  นักวิชาการสาธารณสุข</t>
  </si>
  <si>
    <t>นายสุนันท์</t>
  </si>
  <si>
    <t>เกษรสันติ์</t>
  </si>
  <si>
    <t>ชื่อ  นางสาวสนธยา  เชี่ยวชายชำนาญกิจ          ตำแหน่ง  เภสัชกรชำนาญการ</t>
  </si>
  <si>
    <t>ชื่อ  นายสุนันท์  เกษรสันติ์         ตำแหน่ง  พนักงานเปล</t>
  </si>
  <si>
    <t>น.ส.นภา</t>
  </si>
  <si>
    <t>อนุเคราะห์</t>
  </si>
  <si>
    <t>ชื่อ  นางสาวนภา  อนุเคราะห์         ตำแหน่ง  แม่บ้าน</t>
  </si>
  <si>
    <t>ชื่อ  นางสาวชัญญา  มุขศรี          ตำแหน่ง  นักเทคนิคการแพทย์ชำนาญการ</t>
  </si>
  <si>
    <t>กรมสรรพากร 2 เพื่อรับชำระเงินคืนกองทุนเงินให้กู้ยืมเพื่อการศึกษา</t>
  </si>
  <si>
    <t>กยศ.</t>
  </si>
  <si>
    <t>นายอัฐพล</t>
  </si>
  <si>
    <t>วงค์คำดี</t>
  </si>
  <si>
    <t>น.ส.รัชตา</t>
  </si>
  <si>
    <t>พุ่มพยงค์</t>
  </si>
  <si>
    <t>น.ส.อรชนกพร</t>
  </si>
  <si>
    <t>น.ส.ปพิชญา</t>
  </si>
  <si>
    <t>อังกีรัตน์</t>
  </si>
  <si>
    <t>น.ส.ภิญดา</t>
  </si>
  <si>
    <t>จันทนะ</t>
  </si>
  <si>
    <t>ชื่อ  นางสาวอรชนกพร  อินทรขลิบ          ตำแหน่ง  พนักงานช่วยเหลือคนไข้</t>
  </si>
  <si>
    <t>ชื่อ  นางสาวปพิชญา  อังกีรัตน์         ตำแหน่ง  นักวิชาการสาธารณสุข</t>
  </si>
  <si>
    <t>น.ส.รุ่งนภา</t>
  </si>
  <si>
    <t>นายนรุตน์</t>
  </si>
  <si>
    <t>ช่วยกลาง</t>
  </si>
  <si>
    <t>น.ส.ชลนิชา</t>
  </si>
  <si>
    <t>นาคจันทร์</t>
  </si>
  <si>
    <t>ชื่อ  นายนรุตน์  ช่วยกลาง          ตำแหน่ง  ทันตแพทย์ปฏิบัติการ</t>
  </si>
  <si>
    <t>กยศ</t>
  </si>
  <si>
    <t>นายกิตติภพ</t>
  </si>
  <si>
    <t>แผ่พร</t>
  </si>
  <si>
    <t>วงศ์ราตรี</t>
  </si>
  <si>
    <t>ชื่อ  นายกิตติภพ  แผ่พร       ตำแหน่ง  พนักงานประจำห้องทดลอง</t>
  </si>
  <si>
    <t>นายอนุพงศ์</t>
  </si>
  <si>
    <t>นายธนพงศ์</t>
  </si>
  <si>
    <t>ทัพวิโรจน์</t>
  </si>
  <si>
    <t>น.ส.สุนารี</t>
  </si>
  <si>
    <t>เกิดทวี</t>
  </si>
  <si>
    <t>นายศิรวิทย์</t>
  </si>
  <si>
    <t>แก้วศรี</t>
  </si>
  <si>
    <t>ชื่อ  นายวัชรากร  สถานพงษ์  ตำแหน่ง  พนักงานทั่วไป</t>
  </si>
  <si>
    <t>ชื่อ  นายศุภมิตร  มีผล         ตำแหน่ง  พนักงานการแพทย์และรังสีเทคนิค</t>
  </si>
  <si>
    <t>ชื่อ  นางสาวชลนิชา  นาคจันทร์       ตำแหน่ง  พนักงานช่วยเหลือคนไข้</t>
  </si>
  <si>
    <t>ชื่อ  นายอนุพงศ์  ยิ้มอ่อน       ตำแหน่ง  พนักงานช่วยเหลือคนไข้</t>
  </si>
  <si>
    <t>ชื่อ  นายธนพงศ์  ทัพวิโรจน์       ตำแหน่ง  พนักงานช่วยเหลือคนไข้</t>
  </si>
  <si>
    <t>นายประจิตร</t>
  </si>
  <si>
    <t>โสภา</t>
  </si>
  <si>
    <t>ชื่อ  นายประจิตร  โสภา       ตำแหน่ง  เจ้าพนักงานวิทยาศาสตร์การแพทย์</t>
  </si>
  <si>
    <t>จพง.วิทยาศาสตร์การแพทย์</t>
  </si>
  <si>
    <t>น.ส.อัญชลี</t>
  </si>
  <si>
    <t>แสงทอง</t>
  </si>
  <si>
    <t>น.ส.นพมาศ</t>
  </si>
  <si>
    <t>คำสอน</t>
  </si>
  <si>
    <t>น.ส.มนัสพร</t>
  </si>
  <si>
    <t>ชูอารมณ์</t>
  </si>
  <si>
    <t>ชื่อ  นางสาวอัญชลี  แสงทอง       ตำแหน่ง  แม่บ้าน</t>
  </si>
  <si>
    <t>ชื่อ  นางสาวมนัสพร  ชูอารมณ์       ตำแหน่ง  พนักงานช่วยเหลือคนไข้</t>
  </si>
  <si>
    <t>น.ส.วรรณิภา</t>
  </si>
  <si>
    <t>เบญมาตย์</t>
  </si>
  <si>
    <t>น.ส.กนกพร</t>
  </si>
  <si>
    <t>มุ่งเจือกลาง</t>
  </si>
  <si>
    <t xml:space="preserve">น.ส.ฐิติมา  </t>
  </si>
  <si>
    <t>ช้างกอน</t>
  </si>
  <si>
    <t xml:space="preserve">น.ส.วรรณวิสา  </t>
  </si>
  <si>
    <t>ธนะจักร์</t>
  </si>
  <si>
    <t xml:space="preserve">น.ส.บุญเสริม </t>
  </si>
  <si>
    <t>ชื่อ  นางสาวกนกพร  มุ่งเจือกลาง      ตำแหน่ง  พยาบาลวิชาชีพปฏิบัติการ</t>
  </si>
  <si>
    <t>ชื่อ  นางสาวฐิติมา  ช้างกอน         ตำแหน่ง  นักวิชาการสาธารณสุข</t>
  </si>
  <si>
    <t>ชื่อ  นางสาววรรณวิสา  ธนะจักร์         ตำแหน่ง  พนักงานช่วยเหลือคนไข้</t>
  </si>
  <si>
    <t>ชื่อ  นางสาวบุญเสริม  ศิริเมือง         ตำแหน่ง  แม่บ้าน</t>
  </si>
  <si>
    <t>นักจิตวิทยา</t>
  </si>
  <si>
    <t>น.ส.มนัสสิกานต์</t>
  </si>
  <si>
    <t>บุญชนะ</t>
  </si>
  <si>
    <t>ชื่อ  นางสาวอัฉรา  เรืองเพ็ชร์         ตำแหน่ง  พนักงานบริการ</t>
  </si>
  <si>
    <t>ชื่อ  นางสาววชิรา  โตสัจจะ         ตำแหน่ง  นักกายภาพบำบัด</t>
  </si>
  <si>
    <t>ชื่อ  นางศรัณย์ธร  ครุฑสิน       ตำแหน่ง  พนักงานช่วยเหลือคนไข้</t>
  </si>
  <si>
    <t>ชื่อ  นายธรรมรัฐ  บัวหลวง          ตำแหน่ง  พนักงานช่วยเหลือคนไข้</t>
  </si>
  <si>
    <t>ชื่อ  นางสาววรรณิภา  เบญมาตย์       ตำแหน่ง  แพทย์แผนไทย</t>
  </si>
  <si>
    <t>ชื่อ  นางสาวธันยา  น้ำจันทร์เจริญ         ตำแหน่ง  พนักงานช่วยเหลือคนไข้</t>
  </si>
  <si>
    <t>ชื่อ  นางสาวณัฐทิตา  จันทรเกษมศุก         ตำแหน่ง  นักวิชาการสาธารณสุข</t>
  </si>
  <si>
    <t>ศิริเมือง</t>
  </si>
  <si>
    <t>นายภูการ</t>
  </si>
  <si>
    <t>วงษ์เดือน</t>
  </si>
  <si>
    <t>ชื่อ  นายภูการ  วงษ์เดือน         ตำแหน่ง  พนักงานทั่วไป</t>
  </si>
  <si>
    <t>ชื่อ  นางสาวพรนภา  ภูน้ำเย็น      ตำแหน่ง  พยาบาลวิชาชีพปฏิบัติการ</t>
  </si>
  <si>
    <t>น.ส.เพ็ญพิสุทธิ์</t>
  </si>
  <si>
    <t>โพธิจักร์</t>
  </si>
  <si>
    <t>ผู้ช่วยนักกายภาพบำบัด</t>
  </si>
  <si>
    <t>นายบุญทำ</t>
  </si>
  <si>
    <t>จานทอง</t>
  </si>
  <si>
    <t>น.ส.ณภัชภรน์</t>
  </si>
  <si>
    <t>ชื่อ  นางสาวเพ็ญพิสุทธิ์  โพธิจักร์         ตำแหน่ง  ผู้ช่วยนักกายภาพบำบัด</t>
  </si>
  <si>
    <t>ชื่อ  นายบุญทำ  จานทอง         ตำแหน่ง  พนักงานเปล</t>
  </si>
  <si>
    <t>ชื่อ  นางสาวณภัชภรน์  ทองสุข       ตำแหน่ง  พนักงานช่วยเหลือคนไข้</t>
  </si>
  <si>
    <t>นายปุริม</t>
  </si>
  <si>
    <t>พิทยภูวไนย</t>
  </si>
  <si>
    <t>น.ส.ศิริลักษณ์</t>
  </si>
  <si>
    <t>ชมภูนุช</t>
  </si>
  <si>
    <t>ธนเตชะสิน</t>
  </si>
  <si>
    <t xml:space="preserve">น.ส.ณัฐลดา  </t>
  </si>
  <si>
    <t>บัวจันทร์แดง</t>
  </si>
  <si>
    <t>ชื่อ  นางพรทิพย์  ธนเตชะสิน          ตำแหน่ง  พยาบาลวิชาชีพชำนาญการ</t>
  </si>
  <si>
    <t>ชื่อ  นางสาวณัฐลดา  บัวจันทร์แดง       ตำแหน่ง  พนักงานบริการ</t>
  </si>
  <si>
    <t>น.ส.ขวัญธิดา</t>
  </si>
  <si>
    <t>อินทรชัย</t>
  </si>
  <si>
    <t>นักกายภาพ</t>
  </si>
  <si>
    <t>น.ส.กัลยารัตน์</t>
  </si>
  <si>
    <t>น.ส.วศิกา</t>
  </si>
  <si>
    <t>เจริญวุฒิกุล</t>
  </si>
  <si>
    <t>ชื่อ  นางสาวขวัญธิดา  อินทรชัย          ตำแหน่ง  นักกายภาพบำบัดปฏิบัติการ</t>
  </si>
  <si>
    <t>ชื่อ  นางสาววศิกา  เจริญวุฒิกุล         ตำแหน่ง  แพทย์แผนไทย</t>
  </si>
  <si>
    <t>ชื่อ  นายรุจนพล  อมรลักษณานนท์          ตำแหน่ง  ทันตแพทย์ชำนาญการพิเศษ</t>
  </si>
  <si>
    <t>นักวิชาการพัสดุ</t>
  </si>
  <si>
    <t>เจ้าพนักงานการเงินและบัญชี</t>
  </si>
  <si>
    <t>น.ส.ศศิธร</t>
  </si>
  <si>
    <t>เชื้ออ่อน</t>
  </si>
  <si>
    <t>ชื่อ  นางสาวสุนารี  เกิดทวี       ตำแหน่ง  เจ้าพนักงานการเงินและบัญชี</t>
  </si>
  <si>
    <t>ชื่อ  นางสาวศศิธร  เชื้ออ่อน       ตำแหน่ง  พนักงานช่วยเหลือคนไข้</t>
  </si>
  <si>
    <t>น.ส.อุบลฤดี</t>
  </si>
  <si>
    <t>บุตรชา</t>
  </si>
  <si>
    <t>ชื่อ  นางสาวอุบลฤดี  บุตรชา       ตำแหน่ง  พนักงานประจำห้องทดลอง</t>
  </si>
  <si>
    <t>รัตนวงศ์</t>
  </si>
  <si>
    <t>ชื่อ  นางรักษ์สินี  ชอบดี</t>
  </si>
  <si>
    <t>นายอัครชัย</t>
  </si>
  <si>
    <t xml:space="preserve">นายประยุกต์ </t>
  </si>
  <si>
    <t>เสรีเสถียร</t>
  </si>
  <si>
    <t>น.ส.รัชนี</t>
  </si>
  <si>
    <t>ฉลองเกื้อกูล</t>
  </si>
  <si>
    <t>นางวนิดา</t>
  </si>
  <si>
    <t>ศรีศัมภุวงศ์</t>
  </si>
  <si>
    <t>ชื่อ  นายวีระพงษ์  อ่างแก้ว       ตำแหน่ง  พนักงานขับรถยนต์</t>
  </si>
  <si>
    <t>ชื่อ  นายอัครชัย  อุบลพงษ์       ตำแหน่ง  พนักงานช่วยเหลือคนไข้</t>
  </si>
  <si>
    <t>น.ส.ฟารีดา</t>
  </si>
  <si>
    <t>คชฤทธิ์</t>
  </si>
  <si>
    <t>ชื่อ  นางสาวพิรดา  วงศ์ซื่อ          ตำแหน่ง  เภสัชกรชำนาญการ</t>
  </si>
  <si>
    <t>ชื่อ  นางสาวฟารีดา  คชฤทธิ์</t>
  </si>
  <si>
    <t>หอมแก่นจันทร์</t>
  </si>
  <si>
    <t>ชื่อ  นางสาวเบญจวรรณ  หอมแก่นจันทร์          ตำแหน่ง  นักเทคนิคการแพทย์ปฏิบัติการ</t>
  </si>
  <si>
    <t>น.ส.สุภาดา</t>
  </si>
  <si>
    <t>อนันตะภูมิ</t>
  </si>
  <si>
    <t>น.ส.สุชาวดี</t>
  </si>
  <si>
    <t>อินกว่าง</t>
  </si>
  <si>
    <t xml:space="preserve">น.ส.ชลธิชา  </t>
  </si>
  <si>
    <t>จำปาม่วง</t>
  </si>
  <si>
    <t xml:space="preserve">น.ส.ภัทรสุดา  </t>
  </si>
  <si>
    <t>ชื่อ  นางสาวสุชาวดี  อินกว่าง         ตำแหน่ง  พยาบาลวิชาชีพ</t>
  </si>
  <si>
    <t>ชื่อ  นางสาวภัทรสุดา  มงคลธง       ตำแหน่ง  พนักงานช่วยเหลือคนไข้</t>
  </si>
  <si>
    <t>ชื่อ  นายดนัย  บางชวด</t>
  </si>
  <si>
    <t>น.ส.ณัฐวินีย์</t>
  </si>
  <si>
    <t>แสงภูติ</t>
  </si>
  <si>
    <t>น.ส.สุภาวดี</t>
  </si>
  <si>
    <t>จริยาธนประภา</t>
  </si>
  <si>
    <t>ชื่อ  นางสาวณัฐวินีย์  แสงภูติ         ตำแหน่ง  เภสัชกร</t>
  </si>
  <si>
    <t>ชื่อ  นางสาวสุภาวดี  จริยาธนประภา</t>
  </si>
  <si>
    <t>น.ส.เปมิกา</t>
  </si>
  <si>
    <t>นนทอ</t>
  </si>
  <si>
    <t>วังสันต์</t>
  </si>
  <si>
    <t>อาดำ</t>
  </si>
  <si>
    <t>ชื่อ  นางสาวเปมิกา  นนทอ       ตำแหน่ง  พนักงานประจำห้องยา</t>
  </si>
  <si>
    <t>ชื่อ  นางวิภาพร  วังสันต์       ตำแหน่ง  แม่บ้าน</t>
  </si>
  <si>
    <t>ชื่อ  นางสาวณัฐนรี  รัตนวงศ์</t>
  </si>
  <si>
    <t>ชื่อ  นางสาวฟารีดา  อาดำ</t>
  </si>
  <si>
    <t>น.ส.แสงจันทร์</t>
  </si>
  <si>
    <t>เหลาทอง</t>
  </si>
  <si>
    <t>น.ส.รุจิรา</t>
  </si>
  <si>
    <t>ต่อซอน</t>
  </si>
  <si>
    <t>ชื่อ  นางสาวมนัสกานต์  บุญชนะ          ตำแหน่ง  พยาบาลวิชาชีพปฎิบัติการ</t>
  </si>
  <si>
    <t>ชื่อ  นางสาววิลาวัณย์  วงศ์ราตรี          ตำแหน่ง  พยาบาลวิชาชีพปฎิบัติการ</t>
  </si>
  <si>
    <t>ชื่อ  นางสาวศิริรัตน์  ส่องแสง          ตำแหน่ง  พยาบาลวิชาชีพปฎิบัติการ</t>
  </si>
  <si>
    <t>ชื่อ  นางสาวแสงจันทร์  เหลาทอง          ตำแหน่ง  นักวิชาการสาธารณสุขปฏิบัติการ</t>
  </si>
  <si>
    <t>ชื่อ  นางสาวรุจิรา  ต่อซอน          ตำแหน่ง  นักวิชาการสาธารณสุขปฏิบัติการ</t>
  </si>
  <si>
    <t>น.ส.ณัฐนรี</t>
  </si>
  <si>
    <t>ชื่อ  นางภคณี  ศรีโสภณ          ตำแหน่ง  พยาบาลวิชาชีพชำนาญการพิเศษ</t>
  </si>
  <si>
    <t>ชื่อ  นางเสาวรัตน์  เฮงยศมาก          ตำแหน่ง  พยาบาลวิชาชีพชำนาญการพิเศษ</t>
  </si>
  <si>
    <t>ชื่อ  นางสาวธาริณี  เขมะวานิช         ตำแหน่ง  พยาบาลวิชาชีพชำนาญการพิเศษ</t>
  </si>
  <si>
    <t>ชื่อ  นางณัฐพร  คล่องขยัน          ตำแหน่ง  พยาบาลวิชาชีพชำนาญการพิเศษ</t>
  </si>
  <si>
    <t>ชื่อ  นางสาวพจนา  พวงธรรม          ตำแหน่ง  พยาบาลวิชาชีพชำนาญการพิเศษ</t>
  </si>
  <si>
    <t>ชื่อ  นางปิยะวรรณ  เพียรภายลุน          ตำแหน่ง  พยาบาลวิชาชีพชำนาญการพิเศษ</t>
  </si>
  <si>
    <t>น.ส.จิระวดี</t>
  </si>
  <si>
    <t>กันทะมัง</t>
  </si>
  <si>
    <t xml:space="preserve">น.ส.สุพัตรา  </t>
  </si>
  <si>
    <t>พรมชาติ</t>
  </si>
  <si>
    <t xml:space="preserve">น.ส.มยุริญ  </t>
  </si>
  <si>
    <t>ศรีมุกดา</t>
  </si>
  <si>
    <t xml:space="preserve">น.ส.ปวริศา  </t>
  </si>
  <si>
    <t>จันทา</t>
  </si>
  <si>
    <t xml:space="preserve">น.ส.อภิญญา  </t>
  </si>
  <si>
    <t>ปุ่มเกวียน</t>
  </si>
  <si>
    <t>ชื่อ  นางสาวจิระวดี  กันทะมัง          ตำแหน่ง  นักวิชาการสาธารณสุขปฏิบัติการ</t>
  </si>
  <si>
    <t>ชื่อ  นางสาวพรปวีณ์  ศรีโสภณ         ตำแหน่ง  พนักงานบริการ</t>
  </si>
  <si>
    <t>ชื่อ  นางสาวสุภาดา  อนันตะภูมิ         ตำแหน่ง  พยาบาลวิชาชีพ</t>
  </si>
  <si>
    <t>ค่าตอบแทน ฉ.11</t>
  </si>
  <si>
    <t>ชื่อ  นางสาวปวริศา  จันทา       ตำแหน่ง  พนักงานช่วยเหลือคนไข้</t>
  </si>
  <si>
    <t>ชื่อ  นางสาวอภิญญา  ปุ่มเกวียน         ตำแหน่ง  พนักงานประกอบอาหาร</t>
  </si>
  <si>
    <t>ค่าตอบแทน
พตส.</t>
  </si>
  <si>
    <t>นายอติวิชญ์</t>
  </si>
  <si>
    <t>จิรัฐิติชีพ</t>
  </si>
  <si>
    <t xml:space="preserve">ค่าตอบแทน คตส. </t>
  </si>
  <si>
    <t>ชื่อ  นายอติวิชญ์  จิรัฐิติชีพ          ตำแหน่ง  นายแพทย์ชำนาญการ</t>
  </si>
  <si>
    <t>ชื่อ  นายอัฐพล  วงค์คำดี         ตำแหน่ง  พนักงานขับรถยนต์</t>
  </si>
  <si>
    <t>ชื่อ  นางสาวศิริลักษณ์  ชมภูนุช         ตำแหน่ง  พนักงานช่วยเหลือคนไข้</t>
  </si>
  <si>
    <t xml:space="preserve">น.ส.จุฑามาส  </t>
  </si>
  <si>
    <t>คำวัน</t>
  </si>
  <si>
    <t>ค่าไฟฟ้า-น้ำประปา</t>
  </si>
  <si>
    <t>ชื่อ  นางสาวจุฑามาส  คำวัน       ตำแหน่ง  พนักงานพิมพ์</t>
  </si>
  <si>
    <t>น.ส.อัญธิญาน์</t>
  </si>
  <si>
    <t>พรชัยวุฒิพงษ์</t>
  </si>
  <si>
    <t>เจ้าพนักงานพัสดุ</t>
  </si>
  <si>
    <t>น.ส.ดวงพร</t>
  </si>
  <si>
    <t>อินแสง</t>
  </si>
  <si>
    <t>นายอนุกูล</t>
  </si>
  <si>
    <t>นายวิชัย</t>
  </si>
  <si>
    <t>วิดประโคน</t>
  </si>
  <si>
    <t>พนักงานบริการ(คนสวน)</t>
  </si>
  <si>
    <t>ชื่อ  นางสาวภิญดา  จันทนะ       ตำแหน่ง  เจ้าพนักงานพัสดุ</t>
  </si>
  <si>
    <t>ชื่อ  นางสาวดวงพร  อินแสง       ตำแหน่ง  พนักงานช่วยเหลือคนไข้</t>
  </si>
  <si>
    <t>ชื่อ  นายวิชัย  วิดประโคน       ตำแหน่ง  พนักงานบริการ</t>
  </si>
  <si>
    <t>นายกฤษณพล</t>
  </si>
  <si>
    <t>พิณสุวรรณ์</t>
  </si>
  <si>
    <t>น.ส.จุฑาธิบดิ์</t>
  </si>
  <si>
    <t>พรหมเชียง</t>
  </si>
  <si>
    <t>ชื่อ  นายกฤษณพล  พิณสุวรรณ์          ตำแหน่ง  นายแพทย์ปฏิบัติการ</t>
  </si>
  <si>
    <t>ชื่อ  นางสาวจุฑาธิบดิ์  พรหมเชียง          ตำแหน่ง  นายแพทย์ปฏิบัติการ</t>
  </si>
  <si>
    <t>น.ส.สุนิสา</t>
  </si>
  <si>
    <t>ไทยรัตน์</t>
  </si>
  <si>
    <t>น.ส.ปัทมาภร</t>
  </si>
  <si>
    <t>ชื่นยินดี</t>
  </si>
  <si>
    <t>ชื่อ  นางสาวอัญธิญาน์  พรชัยวุฒิพงษ์          ตำแหน่ง  นักวิชาการพัสดุ</t>
  </si>
  <si>
    <t>ชื่อ  นางสาวสุนิสา  ไทยรัตน์       ตำแหน่ง  นักวิชาการสาธารณสุข</t>
  </si>
  <si>
    <t>ชื่อ  นางสาวปัทมาภร  ชื่นยินดี</t>
  </si>
  <si>
    <t>นายจตุพงษ์</t>
  </si>
  <si>
    <t>จันทร์ทอง</t>
  </si>
  <si>
    <t>น.ส.สริมา</t>
  </si>
  <si>
    <t>งามไพบูลย์สมบัติ</t>
  </si>
  <si>
    <t xml:space="preserve">ค่าตอบแทนพตส. </t>
  </si>
  <si>
    <t>น.ส.ณภวรรณ</t>
  </si>
  <si>
    <t>นันเพ็ญ</t>
  </si>
  <si>
    <t>ชื่อ  นายจตุพงษ์  จันทร์ทอง          ตำแหน่ง  นายแพทย์ชำนาญการพิเศษ</t>
  </si>
  <si>
    <t>ค่าตอบแทน พตส. ก.ย.68</t>
  </si>
  <si>
    <t>ชื่อ  นางสาวสริมา  งามไพบูลย์สมบัติ       ตำแหน่ง  นายแพทย์</t>
  </si>
  <si>
    <t>ชื่อ  นางสาวณภวรรณ  นันเพ็ญ</t>
  </si>
  <si>
    <t>ชื่อ  นางสาวสุพัตรา  พรมชาติ         ตำแหน่ง  พยาบาลวิชาชีพ</t>
  </si>
  <si>
    <t>ชื่อ  นางสาวมยุริญ  ศรีมุกดา         ตำแหน่ง  พยาบาลวิชาชีพ</t>
  </si>
  <si>
    <t>นายชนากร</t>
  </si>
  <si>
    <t>จารุทรรศน์</t>
  </si>
  <si>
    <t>นายอนุชา</t>
  </si>
  <si>
    <t>เขียวอำพร</t>
  </si>
  <si>
    <t>น.ส.อรพิมพ์</t>
  </si>
  <si>
    <t>เชยผักแว่น</t>
  </si>
  <si>
    <t>ชื่อ  นางสาวชลธิชา  จำปาม่วง         ตำแหน่ง  นักกายภาพบำบัด</t>
  </si>
  <si>
    <t>ชื่อ  นายปุริม  พิทยภูวไนย         ตำแหน่ง  นักเทคนิคการแพทย์</t>
  </si>
  <si>
    <t>ชื่อ  นางสาวปรารถนา  ธรรมศักดิ์ชัย         ตำแหน่ง  พนักงานประกอบอาหาร</t>
  </si>
  <si>
    <t>ชื่อ  นางสาวพรปรียา  สาไธสง         ตำแหน่ง  พนักงานทั่วไป</t>
  </si>
  <si>
    <t>ชื่อ  นางสาวบุษบง  ดรบุรมย์         ตำแหน่ง  พนักงานบริการ</t>
  </si>
  <si>
    <t>ชื่อ  นางสาวพรสิริ  เวียงอินทร์         ตำแหน่ง  พนักงานเครื่องคอมพิวเตอร์</t>
  </si>
  <si>
    <t>ชื่อ  นางสาวนพมาศ  คำสอน         ตำแหน่ง  พนักงานช่วยเหลือคนไข้</t>
  </si>
  <si>
    <t>ชื่อ  นางสาวรัชตา  พุ่มพยงค์         ตำแหน่ง  พนักงานช่วยเหลือคนไข้</t>
  </si>
  <si>
    <t>ชื่อ  นายศิรวิทย์  แก้วศรี         ตำแหน่ง  พนักงานเปล</t>
  </si>
  <si>
    <t>ชื่อ  นายชนากร  จารุทรรศน์       ตำแหน่ง  นายแพทย์</t>
  </si>
  <si>
    <t>ชื่อ  นางสาวนงลักษณ์ พวงศิลป์       ตำแหน่ง  พนักงานบริการ</t>
  </si>
  <si>
    <t>ชื่อ  นายอนุชา  เขียวอำพร       ตำแหน่ง  พนักงานเปล</t>
  </si>
  <si>
    <t>ชื่อ  นางสาวอรพิมพ์  เชยผักแว่น       ตำแหน่ง  พนักงานบริการ</t>
  </si>
  <si>
    <t>ประจำเดือนพฤศจิกายน  2568</t>
  </si>
  <si>
    <t>ค่าตอบแทน ฉ.11
 ตค.68</t>
  </si>
  <si>
    <t>ค่าตอบแทนนอกเวลา
ราชการ ตค.68</t>
  </si>
  <si>
    <t>ค่าตอบแทนแพทย์ พย.68</t>
  </si>
  <si>
    <t>ค่าตอบแทน พตส.พย.68</t>
  </si>
  <si>
    <t xml:space="preserve">ค่าตอบแทนพิเศษเต็มขั้น ตค.-พย.68 </t>
  </si>
  <si>
    <t xml:space="preserve">ตกเบิกเงินเดือน ตค.68 </t>
  </si>
  <si>
    <t>ค่าตอบแทนจิตแพทย์ พย.68</t>
  </si>
  <si>
    <t>น.ส.ปรียาภรณ์</t>
  </si>
  <si>
    <t>ขันทอง</t>
  </si>
  <si>
    <t xml:space="preserve">น.ส.สุภาภรณ์ </t>
  </si>
  <si>
    <t>มานสพานสูง</t>
  </si>
  <si>
    <t xml:space="preserve">นายคิวณัฐ  </t>
  </si>
  <si>
    <t>สาราเอก</t>
  </si>
  <si>
    <t xml:space="preserve">น.ส.กัญญารัตน์  </t>
  </si>
  <si>
    <t>คำรักษ์</t>
  </si>
  <si>
    <t xml:space="preserve">น.ส.อ้อมขวัญ  </t>
  </si>
  <si>
    <t>ศิริจร</t>
  </si>
  <si>
    <t>เงินเพิ่มพิเศษแพทย์,ทันต,เภสัช ไม่ทำเวช พ.ย.68</t>
  </si>
  <si>
    <t>ค่าจ้างพนักงานกระทรวงสาธารณสุข พ.ย.68</t>
  </si>
  <si>
    <t>ค่าจ้างลูกจ้างชั่วคราวรายเดือน พ.ย.68</t>
  </si>
  <si>
    <t>ค่าจ้างลูกจ้างชั่วคราวรายวัน พ.ย.68</t>
  </si>
  <si>
    <t>ค่าตอบแทน พตส. พฤศจิกายน  2568</t>
  </si>
  <si>
    <t>ค่าตอบแทนปฏิบัติงานนอกเวลา OT ต.ค.68</t>
  </si>
  <si>
    <t>ค่าตอบแทนปฏิบัติงานนอกเวลา OT ต.ค.68 (การคลัง)</t>
  </si>
  <si>
    <t>ค่าตอบแทน ฉ.11 ต.ค.68  (สนับสนุน)</t>
  </si>
  <si>
    <t>ค่าตอบแทนจิตแพทย์ พ.ย.68</t>
  </si>
  <si>
    <t>ค่าตอบแทนแพทย์สาขาส่งเสริมพิเศษ พ.ย.68</t>
  </si>
  <si>
    <t>ค่าตอบแทนพิเศษ น.ส.เบญจวรรณ  สุขชูศรี  ต.ค. - พ.ย.68</t>
  </si>
  <si>
    <t>ตกเบิกเงินเดือนพนักงานกระทรวง ตุลาคม 2568</t>
  </si>
  <si>
    <t>พฤศจิกายน</t>
  </si>
  <si>
    <t>โรงพยาบาลสามโคก  ประจำเดือน  พฤศจิกายน  2568</t>
  </si>
  <si>
    <t>ค่าตอบแทน ฉ.11 ต.ค.68</t>
  </si>
  <si>
    <t>ค่าตอบแทนนอกเวลาราชการ ต.ค.68</t>
  </si>
  <si>
    <t>ตกเบิกเงินเดือน ต.ค.68</t>
  </si>
  <si>
    <t>ค่าตอบแทนพิเศษแพทย์ พ.ย.68</t>
  </si>
  <si>
    <t>เงินเพิ่มพิเศษไม่ทำเวชปฏิบัติ พ.ย.68</t>
  </si>
  <si>
    <t xml:space="preserve">ค่าตอบแทนนอกเวลาราชการ ต.ค.68 </t>
  </si>
  <si>
    <t>ค่าตอบแทนพิเศษเต็มขั้น ต.ค.-พ.ย.68</t>
  </si>
  <si>
    <t>ค่าตอบแทน พตส. พ.ย.68</t>
  </si>
  <si>
    <t>ชื่อ  นายอนุกูล  นาประดิษฐ       ตำแหน่ง  พนักงานขับรถยนต์</t>
  </si>
  <si>
    <t>ชื่อ  นางปัทมาพร  อ่านเปรื่อง</t>
  </si>
  <si>
    <t>ชื่อ  นางสาวปรียาภรณ์  ขันทอง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</si>
</sst>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8" x14ac:knownFonts="1">
    <font>
      <sz val="11"/>
      <color theme="1"/>
      <name val="Tahoma"/>
      <family val="2"/>
      <charset val="222"/>
      <scheme val="minor"/>
    </font>
    <font>
      <sz val="11"/>
      <color indexed="8"/>
      <name val="Tahoma"/>
      <family val="2"/>
      <charset val="222"/>
    </font>
    <font>
      <sz val="14"/>
      <name val="Cordia New"/>
      <family val="2"/>
    </font>
    <font>
      <sz val="14"/>
      <name val="Cordia New"/>
      <family val="2"/>
    </font>
    <font>
      <sz val="16"/>
      <name val="Angsana New"/>
      <family val="1"/>
    </font>
    <font>
      <sz val="14"/>
      <name val="Angsana New"/>
      <family val="1"/>
    </font>
    <font>
      <sz val="12"/>
      <name val="Angsana New"/>
      <family val="1"/>
    </font>
    <font>
      <sz val="14"/>
      <color indexed="8"/>
      <name val="Angsana New"/>
      <family val="1"/>
    </font>
    <font>
      <sz val="16"/>
      <color indexed="8"/>
      <name val="Angsana New"/>
      <family val="1"/>
    </font>
    <font>
      <b/>
      <sz val="16"/>
      <name val="Angsana New"/>
      <family val="1"/>
    </font>
    <font>
      <b/>
      <sz val="16"/>
      <color indexed="8"/>
      <name val="Angsana New"/>
      <family val="1"/>
    </font>
    <font>
      <sz val="12"/>
      <color indexed="8"/>
      <name val="Angsana New"/>
      <family val="1"/>
    </font>
    <font>
      <b/>
      <sz val="14"/>
      <color indexed="8"/>
      <name val="Angsana New"/>
      <family val="1"/>
    </font>
    <font>
      <b/>
      <sz val="12"/>
      <name val="Angsana New"/>
      <family val="1"/>
    </font>
    <font>
      <b/>
      <sz val="12"/>
      <color indexed="8"/>
      <name val="Angsana New"/>
      <family val="1"/>
    </font>
    <font>
      <sz val="11"/>
      <color indexed="8"/>
      <name val="Angsana New"/>
      <family val="1"/>
    </font>
    <font>
      <b/>
      <sz val="10"/>
      <color indexed="8"/>
      <name val="Angsana New"/>
      <family val="1"/>
    </font>
    <font>
      <sz val="10"/>
      <color indexed="8"/>
      <name val="Angsana New"/>
      <family val="1"/>
    </font>
    <font>
      <sz val="8"/>
      <color indexed="8"/>
      <name val="Angsana New"/>
      <family val="1"/>
    </font>
    <font>
      <sz val="9"/>
      <color indexed="8"/>
      <name val="Angsana New"/>
      <family val="1"/>
    </font>
    <font>
      <sz val="8"/>
      <name val="Tahoma"/>
      <family val="2"/>
      <charset val="222"/>
    </font>
    <font>
      <b/>
      <sz val="14"/>
      <name val="Angsana New"/>
      <family val="1"/>
    </font>
    <font>
      <sz val="14"/>
      <color theme="1"/>
      <name val="Angsana New"/>
      <family val="1"/>
    </font>
    <font>
      <sz val="11"/>
      <name val="Angsana New"/>
      <family val="1"/>
    </font>
    <font>
      <b/>
      <u/>
      <sz val="14"/>
      <name val="Angsana New"/>
      <family val="1"/>
    </font>
    <font>
      <sz val="13"/>
      <name val="Angsana New"/>
      <family val="1"/>
    </font>
    <font>
      <b/>
      <sz val="14"/>
      <color indexed="17"/>
      <name val="Angsana New"/>
      <family val="1"/>
    </font>
    <font>
      <sz val="14"/>
      <color indexed="17"/>
      <name val="Angsana New"/>
      <family val="1"/>
    </font>
    <font>
      <u/>
      <sz val="14"/>
      <color indexed="14"/>
      <name val="Angsana New"/>
      <family val="1"/>
    </font>
    <font>
      <sz val="16"/>
      <color theme="1"/>
      <name val="Angsana New"/>
      <family val="1"/>
    </font>
    <font>
      <sz val="12"/>
      <color theme="1"/>
      <name val="Angsana New"/>
      <family val="1"/>
    </font>
    <font>
      <b/>
      <sz val="14"/>
      <color indexed="8"/>
      <name val="TH SarabunPSK"/>
      <family val="2"/>
    </font>
    <font>
      <sz val="16"/>
      <color indexed="8"/>
      <name val="TH SarabunPSK"/>
      <family val="2"/>
    </font>
    <font>
      <b/>
      <sz val="14"/>
      <name val="TH SarabunPSK"/>
      <family val="2"/>
    </font>
    <font>
      <sz val="11"/>
      <color theme="1"/>
      <name val="TH SarabunPSK"/>
      <family val="2"/>
    </font>
    <font>
      <b/>
      <sz val="13"/>
      <name val="TH SarabunPSK"/>
      <family val="2"/>
    </font>
    <font>
      <b/>
      <sz val="16"/>
      <color indexed="8"/>
      <name val="TH SarabunPSK"/>
      <family val="2"/>
    </font>
    <font>
      <sz val="8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</cellStyleXfs>
  <cellXfs count="319">
    <xf numFmtId="0" fontId="0" fillId="0" borderId="0" xfId="0"/>
    <xf numFmtId="0" fontId="4" fillId="0" borderId="0" xfId="16" applyFont="1"/>
    <xf numFmtId="0" fontId="5" fillId="0" borderId="0" xfId="16" applyFont="1"/>
    <xf numFmtId="0" fontId="7" fillId="0" borderId="0" xfId="0" applyFont="1"/>
    <xf numFmtId="0" fontId="8" fillId="0" borderId="0" xfId="0" applyFont="1"/>
    <xf numFmtId="0" fontId="5" fillId="0" borderId="1" xfId="17" applyFont="1" applyBorder="1"/>
    <xf numFmtId="0" fontId="5" fillId="0" borderId="1" xfId="18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 applyAlignment="1">
      <alignment horizontal="center"/>
    </xf>
    <xf numFmtId="0" fontId="5" fillId="0" borderId="1" xfId="19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43" fontId="7" fillId="0" borderId="3" xfId="0" applyNumberFormat="1" applyFont="1" applyBorder="1"/>
    <xf numFmtId="43" fontId="13" fillId="0" borderId="3" xfId="1" applyFont="1" applyFill="1" applyBorder="1" applyAlignment="1">
      <alignment horizontal="center"/>
    </xf>
    <xf numFmtId="0" fontId="12" fillId="0" borderId="0" xfId="0" applyFont="1"/>
    <xf numFmtId="0" fontId="7" fillId="0" borderId="6" xfId="0" applyFont="1" applyBorder="1"/>
    <xf numFmtId="0" fontId="5" fillId="0" borderId="3" xfId="9" applyFont="1" applyBorder="1"/>
    <xf numFmtId="0" fontId="5" fillId="0" borderId="4" xfId="9" applyFont="1" applyBorder="1"/>
    <xf numFmtId="0" fontId="5" fillId="0" borderId="2" xfId="9" applyFont="1" applyBorder="1"/>
    <xf numFmtId="0" fontId="5" fillId="0" borderId="3" xfId="10" applyFont="1" applyBorder="1"/>
    <xf numFmtId="0" fontId="5" fillId="2" borderId="4" xfId="10" applyFont="1" applyFill="1" applyBorder="1"/>
    <xf numFmtId="0" fontId="5" fillId="2" borderId="1" xfId="10" applyFont="1" applyFill="1" applyBorder="1"/>
    <xf numFmtId="0" fontId="5" fillId="0" borderId="3" xfId="11" applyFont="1" applyBorder="1"/>
    <xf numFmtId="0" fontId="5" fillId="0" borderId="3" xfId="13" applyFont="1" applyBorder="1"/>
    <xf numFmtId="0" fontId="5" fillId="0" borderId="1" xfId="12" applyFont="1" applyBorder="1"/>
    <xf numFmtId="0" fontId="5" fillId="0" borderId="4" xfId="14" applyFont="1" applyBorder="1"/>
    <xf numFmtId="0" fontId="11" fillId="0" borderId="3" xfId="0" applyFont="1" applyBorder="1"/>
    <xf numFmtId="43" fontId="7" fillId="0" borderId="3" xfId="1" applyFont="1" applyFill="1" applyBorder="1"/>
    <xf numFmtId="43" fontId="7" fillId="0" borderId="5" xfId="1" applyFont="1" applyFill="1" applyBorder="1"/>
    <xf numFmtId="43" fontId="11" fillId="0" borderId="3" xfId="1" applyFont="1" applyFill="1" applyBorder="1"/>
    <xf numFmtId="43" fontId="12" fillId="0" borderId="3" xfId="0" applyNumberFormat="1" applyFont="1" applyBorder="1"/>
    <xf numFmtId="43" fontId="14" fillId="0" borderId="3" xfId="0" applyNumberFormat="1" applyFont="1" applyBorder="1"/>
    <xf numFmtId="43" fontId="12" fillId="0" borderId="5" xfId="0" applyNumberFormat="1" applyFont="1" applyBorder="1"/>
    <xf numFmtId="43" fontId="14" fillId="0" borderId="3" xfId="1" applyFont="1" applyFill="1" applyBorder="1" applyAlignment="1"/>
    <xf numFmtId="43" fontId="7" fillId="0" borderId="0" xfId="1" applyFont="1" applyFill="1"/>
    <xf numFmtId="43" fontId="12" fillId="3" borderId="3" xfId="0" applyNumberFormat="1" applyFont="1" applyFill="1" applyBorder="1"/>
    <xf numFmtId="0" fontId="7" fillId="0" borderId="4" xfId="0" applyFont="1" applyBorder="1"/>
    <xf numFmtId="0" fontId="5" fillId="0" borderId="1" xfId="14" applyFont="1" applyBorder="1"/>
    <xf numFmtId="43" fontId="12" fillId="0" borderId="3" xfId="1" applyFont="1" applyFill="1" applyBorder="1" applyAlignment="1"/>
    <xf numFmtId="0" fontId="5" fillId="0" borderId="1" xfId="19" applyFont="1" applyBorder="1"/>
    <xf numFmtId="43" fontId="5" fillId="0" borderId="3" xfId="8" applyFont="1" applyFill="1" applyBorder="1" applyAlignment="1">
      <alignment horizontal="center"/>
    </xf>
    <xf numFmtId="43" fontId="6" fillId="0" borderId="3" xfId="8" applyFont="1" applyFill="1" applyBorder="1" applyAlignment="1">
      <alignment horizontal="center"/>
    </xf>
    <xf numFmtId="43" fontId="12" fillId="0" borderId="4" xfId="0" applyNumberFormat="1" applyFont="1" applyBorder="1"/>
    <xf numFmtId="0" fontId="7" fillId="0" borderId="1" xfId="0" applyFont="1" applyBorder="1"/>
    <xf numFmtId="43" fontId="5" fillId="0" borderId="3" xfId="4" applyFont="1" applyFill="1" applyBorder="1" applyAlignment="1">
      <alignment horizontal="center"/>
    </xf>
    <xf numFmtId="43" fontId="17" fillId="0" borderId="3" xfId="0" applyNumberFormat="1" applyFont="1" applyBorder="1"/>
    <xf numFmtId="43" fontId="5" fillId="0" borderId="3" xfId="3" applyFont="1" applyFill="1" applyBorder="1" applyAlignment="1">
      <alignment horizontal="center"/>
    </xf>
    <xf numFmtId="0" fontId="11" fillId="0" borderId="0" xfId="0" applyFont="1"/>
    <xf numFmtId="0" fontId="17" fillId="0" borderId="3" xfId="0" applyFont="1" applyBorder="1"/>
    <xf numFmtId="0" fontId="22" fillId="0" borderId="0" xfId="0" applyFont="1"/>
    <xf numFmtId="43" fontId="11" fillId="0" borderId="0" xfId="1" applyFont="1" applyFill="1"/>
    <xf numFmtId="43" fontId="13" fillId="0" borderId="4" xfId="1" applyFont="1" applyFill="1" applyBorder="1" applyAlignment="1">
      <alignment horizontal="center"/>
    </xf>
    <xf numFmtId="43" fontId="14" fillId="0" borderId="4" xfId="0" applyNumberFormat="1" applyFont="1" applyBorder="1"/>
    <xf numFmtId="43" fontId="14" fillId="0" borderId="5" xfId="0" applyNumberFormat="1" applyFont="1" applyBorder="1"/>
    <xf numFmtId="43" fontId="17" fillId="0" borderId="17" xfId="1" applyFont="1" applyFill="1" applyBorder="1"/>
    <xf numFmtId="0" fontId="5" fillId="0" borderId="1" xfId="9" applyFont="1" applyBorder="1"/>
    <xf numFmtId="43" fontId="7" fillId="0" borderId="4" xfId="1" applyFont="1" applyFill="1" applyBorder="1"/>
    <xf numFmtId="43" fontId="5" fillId="0" borderId="3" xfId="1" applyFont="1" applyFill="1" applyBorder="1" applyAlignment="1">
      <alignment horizontal="center"/>
    </xf>
    <xf numFmtId="43" fontId="6" fillId="0" borderId="3" xfId="1" applyFont="1" applyFill="1" applyBorder="1" applyAlignment="1">
      <alignment horizontal="center"/>
    </xf>
    <xf numFmtId="43" fontId="13" fillId="0" borderId="5" xfId="1" applyFont="1" applyFill="1" applyBorder="1" applyAlignment="1">
      <alignment horizontal="center"/>
    </xf>
    <xf numFmtId="43" fontId="17" fillId="0" borderId="3" xfId="1" applyFont="1" applyFill="1" applyBorder="1"/>
    <xf numFmtId="43" fontId="7" fillId="0" borderId="0" xfId="0" applyNumberFormat="1" applyFont="1"/>
    <xf numFmtId="43" fontId="5" fillId="0" borderId="3" xfId="5" applyFont="1" applyFill="1" applyBorder="1" applyAlignment="1">
      <alignment horizontal="center"/>
    </xf>
    <xf numFmtId="0" fontId="24" fillId="0" borderId="3" xfId="0" applyFont="1" applyBorder="1"/>
    <xf numFmtId="0" fontId="5" fillId="0" borderId="3" xfId="0" applyFont="1" applyBorder="1"/>
    <xf numFmtId="43" fontId="5" fillId="0" borderId="3" xfId="7" applyFont="1" applyBorder="1"/>
    <xf numFmtId="43" fontId="5" fillId="0" borderId="3" xfId="7" applyFont="1" applyFill="1" applyBorder="1"/>
    <xf numFmtId="0" fontId="25" fillId="0" borderId="3" xfId="0" applyFont="1" applyBorder="1" applyAlignment="1">
      <alignment horizontal="center"/>
    </xf>
    <xf numFmtId="4" fontId="26" fillId="5" borderId="20" xfId="0" applyNumberFormat="1" applyFont="1" applyFill="1" applyBorder="1"/>
    <xf numFmtId="0" fontId="26" fillId="2" borderId="0" xfId="0" applyFont="1" applyFill="1"/>
    <xf numFmtId="0" fontId="27" fillId="0" borderId="0" xfId="0" applyFont="1"/>
    <xf numFmtId="0" fontId="24" fillId="0" borderId="0" xfId="0" applyFont="1"/>
    <xf numFmtId="0" fontId="26" fillId="0" borderId="0" xfId="0" applyFont="1"/>
    <xf numFmtId="4" fontId="26" fillId="0" borderId="0" xfId="0" applyNumberFormat="1" applyFont="1"/>
    <xf numFmtId="0" fontId="21" fillId="6" borderId="4" xfId="0" applyFont="1" applyFill="1" applyBorder="1"/>
    <xf numFmtId="0" fontId="21" fillId="6" borderId="1" xfId="0" applyFont="1" applyFill="1" applyBorder="1"/>
    <xf numFmtId="0" fontId="21" fillId="6" borderId="2" xfId="0" applyFont="1" applyFill="1" applyBorder="1"/>
    <xf numFmtId="43" fontId="5" fillId="5" borderId="0" xfId="0" applyNumberFormat="1" applyFont="1" applyFill="1"/>
    <xf numFmtId="0" fontId="22" fillId="0" borderId="3" xfId="0" applyFont="1" applyBorder="1"/>
    <xf numFmtId="4" fontId="22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22" fillId="4" borderId="18" xfId="0" applyFont="1" applyFill="1" applyBorder="1"/>
    <xf numFmtId="0" fontId="22" fillId="4" borderId="18" xfId="0" applyFont="1" applyFill="1" applyBorder="1" applyAlignment="1">
      <alignment horizontal="right"/>
    </xf>
    <xf numFmtId="43" fontId="22" fillId="4" borderId="18" xfId="7" applyFont="1" applyFill="1" applyBorder="1"/>
    <xf numFmtId="43" fontId="22" fillId="4" borderId="19" xfId="7" applyFont="1" applyFill="1" applyBorder="1"/>
    <xf numFmtId="0" fontId="22" fillId="0" borderId="13" xfId="0" applyFont="1" applyBorder="1"/>
    <xf numFmtId="43" fontId="22" fillId="0" borderId="13" xfId="7" applyFont="1" applyBorder="1"/>
    <xf numFmtId="43" fontId="22" fillId="0" borderId="3" xfId="7" applyFont="1" applyBorder="1"/>
    <xf numFmtId="43" fontId="22" fillId="0" borderId="0" xfId="7" applyFont="1"/>
    <xf numFmtId="0" fontId="22" fillId="0" borderId="4" xfId="0" applyFont="1" applyBorder="1"/>
    <xf numFmtId="43" fontId="22" fillId="0" borderId="2" xfId="7" applyFont="1" applyBorder="1"/>
    <xf numFmtId="0" fontId="22" fillId="4" borderId="4" xfId="0" applyFont="1" applyFill="1" applyBorder="1"/>
    <xf numFmtId="0" fontId="22" fillId="4" borderId="1" xfId="0" applyFont="1" applyFill="1" applyBorder="1"/>
    <xf numFmtId="0" fontId="22" fillId="4" borderId="2" xfId="0" applyFont="1" applyFill="1" applyBorder="1"/>
    <xf numFmtId="43" fontId="22" fillId="4" borderId="2" xfId="7" applyFont="1" applyFill="1" applyBorder="1"/>
    <xf numFmtId="0" fontId="22" fillId="4" borderId="3" xfId="0" applyFont="1" applyFill="1" applyBorder="1"/>
    <xf numFmtId="43" fontId="22" fillId="2" borderId="3" xfId="7" applyFont="1" applyFill="1" applyBorder="1"/>
    <xf numFmtId="0" fontId="28" fillId="0" borderId="0" xfId="0" applyFont="1"/>
    <xf numFmtId="43" fontId="22" fillId="6" borderId="21" xfId="7" applyFont="1" applyFill="1" applyBorder="1"/>
    <xf numFmtId="43" fontId="5" fillId="5" borderId="0" xfId="7" applyFont="1" applyFill="1"/>
    <xf numFmtId="43" fontId="22" fillId="5" borderId="0" xfId="0" applyNumberFormat="1" applyFont="1" applyFill="1"/>
    <xf numFmtId="43" fontId="5" fillId="7" borderId="0" xfId="7" applyFont="1" applyFill="1"/>
    <xf numFmtId="0" fontId="29" fillId="4" borderId="3" xfId="0" applyFont="1" applyFill="1" applyBorder="1" applyAlignment="1">
      <alignment horizontal="center"/>
    </xf>
    <xf numFmtId="0" fontId="29" fillId="4" borderId="4" xfId="0" applyFont="1" applyFill="1" applyBorder="1" applyAlignment="1">
      <alignment horizontal="center"/>
    </xf>
    <xf numFmtId="0" fontId="29" fillId="4" borderId="2" xfId="0" applyFont="1" applyFill="1" applyBorder="1" applyAlignment="1">
      <alignment horizontal="center"/>
    </xf>
    <xf numFmtId="49" fontId="5" fillId="0" borderId="3" xfId="7" applyNumberFormat="1" applyFont="1" applyBorder="1" applyAlignment="1">
      <alignment vertical="top"/>
    </xf>
    <xf numFmtId="49" fontId="5" fillId="0" borderId="3" xfId="7" applyNumberFormat="1" applyFont="1" applyBorder="1"/>
    <xf numFmtId="4" fontId="22" fillId="0" borderId="6" xfId="0" applyNumberFormat="1" applyFont="1" applyBorder="1"/>
    <xf numFmtId="43" fontId="22" fillId="0" borderId="3" xfId="1" applyFont="1" applyBorder="1"/>
    <xf numFmtId="0" fontId="21" fillId="0" borderId="13" xfId="0" applyFont="1" applyBorder="1"/>
    <xf numFmtId="0" fontId="21" fillId="5" borderId="13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/>
    </xf>
    <xf numFmtId="43" fontId="16" fillId="0" borderId="5" xfId="0" applyNumberFormat="1" applyFont="1" applyBorder="1"/>
    <xf numFmtId="43" fontId="22" fillId="8" borderId="0" xfId="0" applyNumberFormat="1" applyFont="1" applyFill="1"/>
    <xf numFmtId="0" fontId="9" fillId="0" borderId="16" xfId="0" applyFont="1" applyBorder="1"/>
    <xf numFmtId="0" fontId="9" fillId="0" borderId="16" xfId="0" applyFont="1" applyBorder="1" applyAlignment="1">
      <alignment horizontal="left"/>
    </xf>
    <xf numFmtId="43" fontId="22" fillId="0" borderId="13" xfId="7" applyFont="1" applyFill="1" applyBorder="1"/>
    <xf numFmtId="43" fontId="5" fillId="5" borderId="0" xfId="1" applyFont="1" applyFill="1"/>
    <xf numFmtId="43" fontId="22" fillId="5" borderId="0" xfId="1" applyFont="1" applyFill="1"/>
    <xf numFmtId="43" fontId="7" fillId="0" borderId="5" xfId="0" applyNumberFormat="1" applyFont="1" applyBorder="1"/>
    <xf numFmtId="43" fontId="5" fillId="0" borderId="3" xfId="1" applyFont="1" applyBorder="1"/>
    <xf numFmtId="43" fontId="7" fillId="0" borderId="3" xfId="1" applyFont="1" applyBorder="1"/>
    <xf numFmtId="0" fontId="5" fillId="0" borderId="4" xfId="13" applyFont="1" applyBorder="1"/>
    <xf numFmtId="0" fontId="5" fillId="0" borderId="1" xfId="13" applyFont="1" applyBorder="1"/>
    <xf numFmtId="0" fontId="7" fillId="0" borderId="1" xfId="0" applyFont="1" applyBorder="1" applyAlignment="1">
      <alignment horizontal="left"/>
    </xf>
    <xf numFmtId="43" fontId="5" fillId="0" borderId="3" xfId="1" applyFont="1" applyFill="1" applyBorder="1"/>
    <xf numFmtId="43" fontId="11" fillId="0" borderId="4" xfId="0" applyNumberFormat="1" applyFont="1" applyBorder="1"/>
    <xf numFmtId="0" fontId="5" fillId="0" borderId="4" xfId="0" applyFont="1" applyBorder="1"/>
    <xf numFmtId="0" fontId="7" fillId="0" borderId="2" xfId="0" applyFont="1" applyBorder="1" applyAlignment="1">
      <alignment horizontal="left"/>
    </xf>
    <xf numFmtId="0" fontId="5" fillId="0" borderId="2" xfId="17" applyFont="1" applyBorder="1"/>
    <xf numFmtId="43" fontId="11" fillId="0" borderId="3" xfId="0" applyNumberFormat="1" applyFont="1" applyBorder="1"/>
    <xf numFmtId="0" fontId="18" fillId="0" borderId="2" xfId="0" applyFont="1" applyBorder="1"/>
    <xf numFmtId="0" fontId="6" fillId="0" borderId="1" xfId="17" applyFont="1" applyBorder="1"/>
    <xf numFmtId="43" fontId="15" fillId="0" borderId="3" xfId="0" applyNumberFormat="1" applyFont="1" applyBorder="1"/>
    <xf numFmtId="0" fontId="5" fillId="0" borderId="1" xfId="17" applyFont="1" applyBorder="1" applyAlignment="1">
      <alignment horizontal="left"/>
    </xf>
    <xf numFmtId="0" fontId="6" fillId="0" borderId="2" xfId="17" applyFont="1" applyBorder="1"/>
    <xf numFmtId="0" fontId="5" fillId="0" borderId="2" xfId="19" applyFont="1" applyBorder="1"/>
    <xf numFmtId="0" fontId="5" fillId="0" borderId="2" xfId="18" applyFont="1" applyBorder="1"/>
    <xf numFmtId="0" fontId="5" fillId="0" borderId="2" xfId="14" applyFont="1" applyBorder="1"/>
    <xf numFmtId="0" fontId="6" fillId="0" borderId="3" xfId="11" applyFont="1" applyBorder="1"/>
    <xf numFmtId="43" fontId="5" fillId="0" borderId="3" xfId="1" applyFont="1" applyBorder="1" applyAlignment="1">
      <alignment vertical="top"/>
    </xf>
    <xf numFmtId="43" fontId="5" fillId="0" borderId="6" xfId="7" applyFont="1" applyBorder="1"/>
    <xf numFmtId="43" fontId="21" fillId="0" borderId="3" xfId="1" applyFont="1" applyFill="1" applyBorder="1" applyAlignment="1"/>
    <xf numFmtId="0" fontId="5" fillId="0" borderId="0" xfId="0" applyFont="1"/>
    <xf numFmtId="43" fontId="11" fillId="0" borderId="3" xfId="1" applyFont="1" applyBorder="1"/>
    <xf numFmtId="0" fontId="32" fillId="0" borderId="0" xfId="0" applyFont="1" applyAlignment="1">
      <alignment vertical="center"/>
    </xf>
    <xf numFmtId="0" fontId="33" fillId="0" borderId="8" xfId="15" applyFont="1" applyBorder="1" applyAlignment="1">
      <alignment horizontal="center" vertical="center"/>
    </xf>
    <xf numFmtId="0" fontId="33" fillId="0" borderId="0" xfId="15" applyFont="1" applyAlignment="1">
      <alignment horizontal="center" vertical="center"/>
    </xf>
    <xf numFmtId="0" fontId="33" fillId="0" borderId="9" xfId="15" applyFont="1" applyBorder="1" applyAlignment="1">
      <alignment horizontal="center" vertical="center"/>
    </xf>
    <xf numFmtId="0" fontId="32" fillId="0" borderId="8" xfId="0" applyFont="1" applyBorder="1" applyAlignment="1">
      <alignment vertical="center"/>
    </xf>
    <xf numFmtId="0" fontId="33" fillId="0" borderId="0" xfId="15" applyFont="1" applyAlignment="1">
      <alignment vertical="center"/>
    </xf>
    <xf numFmtId="0" fontId="34" fillId="0" borderId="0" xfId="0" applyFont="1" applyAlignment="1">
      <alignment vertical="center"/>
    </xf>
    <xf numFmtId="0" fontId="32" fillId="0" borderId="9" xfId="0" applyFont="1" applyBorder="1" applyAlignment="1">
      <alignment vertical="center"/>
    </xf>
    <xf numFmtId="0" fontId="31" fillId="0" borderId="0" xfId="0" applyFont="1" applyAlignment="1">
      <alignment vertical="center"/>
    </xf>
    <xf numFmtId="43" fontId="33" fillId="0" borderId="0" xfId="1" applyFont="1" applyBorder="1" applyAlignment="1">
      <alignment vertical="center"/>
    </xf>
    <xf numFmtId="43" fontId="33" fillId="0" borderId="8" xfId="1" applyFont="1" applyBorder="1" applyAlignment="1">
      <alignment vertical="center"/>
    </xf>
    <xf numFmtId="43" fontId="33" fillId="0" borderId="0" xfId="1" applyFont="1" applyBorder="1" applyAlignment="1">
      <alignment horizontal="center" vertical="center"/>
    </xf>
    <xf numFmtId="43" fontId="33" fillId="0" borderId="0" xfId="6" applyFont="1" applyBorder="1" applyAlignment="1">
      <alignment vertical="center"/>
    </xf>
    <xf numFmtId="0" fontId="33" fillId="0" borderId="0" xfId="15" applyFont="1" applyAlignment="1">
      <alignment horizontal="left" vertical="center"/>
    </xf>
    <xf numFmtId="0" fontId="33" fillId="0" borderId="7" xfId="15" applyFont="1" applyBorder="1" applyAlignment="1">
      <alignment horizontal="center" vertical="center"/>
    </xf>
    <xf numFmtId="0" fontId="33" fillId="0" borderId="10" xfId="15" applyFont="1" applyBorder="1" applyAlignment="1">
      <alignment horizontal="center" vertical="center"/>
    </xf>
    <xf numFmtId="0" fontId="32" fillId="0" borderId="7" xfId="0" applyFont="1" applyBorder="1" applyAlignment="1">
      <alignment vertical="center"/>
    </xf>
    <xf numFmtId="0" fontId="32" fillId="0" borderId="10" xfId="0" applyFont="1" applyBorder="1" applyAlignment="1">
      <alignment vertical="center"/>
    </xf>
    <xf numFmtId="0" fontId="33" fillId="0" borderId="9" xfId="15" applyFont="1" applyBorder="1" applyAlignment="1">
      <alignment vertical="center"/>
    </xf>
    <xf numFmtId="43" fontId="33" fillId="0" borderId="9" xfId="1" applyFont="1" applyBorder="1" applyAlignment="1">
      <alignment vertical="center"/>
    </xf>
    <xf numFmtId="43" fontId="33" fillId="0" borderId="9" xfId="1" applyFont="1" applyBorder="1" applyAlignment="1">
      <alignment horizontal="center" vertical="center"/>
    </xf>
    <xf numFmtId="43" fontId="33" fillId="0" borderId="9" xfId="6" applyFont="1" applyBorder="1" applyAlignment="1">
      <alignment vertical="center"/>
    </xf>
    <xf numFmtId="0" fontId="33" fillId="0" borderId="8" xfId="15" applyFont="1" applyBorder="1" applyAlignment="1">
      <alignment vertical="center"/>
    </xf>
    <xf numFmtId="43" fontId="33" fillId="0" borderId="0" xfId="0" applyNumberFormat="1" applyFont="1" applyAlignment="1">
      <alignment vertical="center"/>
    </xf>
    <xf numFmtId="0" fontId="36" fillId="0" borderId="9" xfId="0" applyFont="1" applyBorder="1" applyAlignment="1">
      <alignment vertical="center"/>
    </xf>
    <xf numFmtId="0" fontId="36" fillId="0" borderId="8" xfId="0" applyFont="1" applyBorder="1" applyAlignment="1">
      <alignment vertical="center"/>
    </xf>
    <xf numFmtId="43" fontId="31" fillId="0" borderId="0" xfId="0" applyNumberFormat="1" applyFont="1" applyAlignment="1">
      <alignment vertical="center"/>
    </xf>
    <xf numFmtId="43" fontId="32" fillId="0" borderId="0" xfId="0" applyNumberFormat="1" applyFont="1" applyAlignment="1">
      <alignment vertical="center"/>
    </xf>
    <xf numFmtId="0" fontId="5" fillId="0" borderId="1" xfId="0" applyFont="1" applyBorder="1"/>
    <xf numFmtId="43" fontId="6" fillId="0" borderId="3" xfId="1" applyFont="1" applyFill="1" applyBorder="1" applyAlignment="1">
      <alignment horizontal="center" shrinkToFit="1"/>
    </xf>
    <xf numFmtId="43" fontId="13" fillId="0" borderId="3" xfId="1" applyFont="1" applyFill="1" applyBorder="1" applyAlignment="1">
      <alignment horizontal="center" shrinkToFit="1"/>
    </xf>
    <xf numFmtId="0" fontId="5" fillId="0" borderId="3" xfId="13" applyFont="1" applyBorder="1" applyAlignment="1">
      <alignment shrinkToFit="1"/>
    </xf>
    <xf numFmtId="0" fontId="5" fillId="0" borderId="4" xfId="11" applyFont="1" applyBorder="1"/>
    <xf numFmtId="0" fontId="5" fillId="0" borderId="1" xfId="11" applyFont="1" applyBorder="1"/>
    <xf numFmtId="0" fontId="5" fillId="0" borderId="2" xfId="11" applyFont="1" applyBorder="1"/>
    <xf numFmtId="0" fontId="5" fillId="0" borderId="4" xfId="12" applyFont="1" applyBorder="1"/>
    <xf numFmtId="0" fontId="5" fillId="0" borderId="3" xfId="12" applyFont="1" applyBorder="1"/>
    <xf numFmtId="43" fontId="14" fillId="0" borderId="3" xfId="0" applyNumberFormat="1" applyFont="1" applyBorder="1" applyAlignment="1">
      <alignment shrinkToFit="1"/>
    </xf>
    <xf numFmtId="0" fontId="7" fillId="0" borderId="3" xfId="0" applyFont="1" applyBorder="1" applyAlignment="1">
      <alignment vertical="center"/>
    </xf>
    <xf numFmtId="0" fontId="5" fillId="0" borderId="3" xfId="0" applyFont="1" applyBorder="1" applyAlignment="1">
      <alignment shrinkToFit="1"/>
    </xf>
    <xf numFmtId="43" fontId="14" fillId="0" borderId="3" xfId="1" applyFont="1" applyFill="1" applyBorder="1" applyAlignment="1">
      <alignment shrinkToFit="1"/>
    </xf>
    <xf numFmtId="43" fontId="14" fillId="0" borderId="5" xfId="0" applyNumberFormat="1" applyFont="1" applyBorder="1" applyAlignment="1">
      <alignment shrinkToFit="1"/>
    </xf>
    <xf numFmtId="0" fontId="33" fillId="0" borderId="0" xfId="15" applyFont="1" applyAlignment="1">
      <alignment horizontal="center" vertical="center"/>
    </xf>
    <xf numFmtId="0" fontId="33" fillId="0" borderId="0" xfId="15" applyFont="1" applyAlignment="1">
      <alignment vertical="center"/>
    </xf>
    <xf numFmtId="0" fontId="33" fillId="0" borderId="0" xfId="15" applyFont="1" applyAlignment="1">
      <alignment vertical="center"/>
    </xf>
    <xf numFmtId="0" fontId="25" fillId="0" borderId="6" xfId="0" applyFont="1" applyBorder="1" applyAlignment="1">
      <alignment horizontal="left"/>
    </xf>
    <xf numFmtId="0" fontId="5" fillId="0" borderId="6" xfId="0" applyFont="1" applyBorder="1" applyAlignment="1">
      <alignment shrinkToFit="1"/>
    </xf>
    <xf numFmtId="43" fontId="22" fillId="0" borderId="6" xfId="1" applyFont="1" applyBorder="1"/>
    <xf numFmtId="49" fontId="5" fillId="0" borderId="14" xfId="7" applyNumberFormat="1" applyFont="1" applyBorder="1"/>
    <xf numFmtId="43" fontId="5" fillId="0" borderId="6" xfId="7" applyFont="1" applyFill="1" applyBorder="1"/>
    <xf numFmtId="43" fontId="22" fillId="0" borderId="2" xfId="1" applyFont="1" applyBorder="1"/>
    <xf numFmtId="43" fontId="11" fillId="0" borderId="5" xfId="1" applyFont="1" applyFill="1" applyBorder="1"/>
    <xf numFmtId="43" fontId="17" fillId="0" borderId="5" xfId="1" applyFont="1" applyFill="1" applyBorder="1"/>
    <xf numFmtId="43" fontId="23" fillId="0" borderId="3" xfId="1" applyFont="1" applyFill="1" applyBorder="1" applyAlignment="1">
      <alignment horizontal="center"/>
    </xf>
    <xf numFmtId="43" fontId="5" fillId="0" borderId="3" xfId="2" applyFont="1" applyFill="1" applyBorder="1" applyAlignment="1">
      <alignment horizontal="center"/>
    </xf>
    <xf numFmtId="43" fontId="30" fillId="0" borderId="3" xfId="1" applyFont="1" applyFill="1" applyBorder="1"/>
    <xf numFmtId="43" fontId="11" fillId="0" borderId="17" xfId="1" applyFont="1" applyFill="1" applyBorder="1"/>
    <xf numFmtId="43" fontId="7" fillId="0" borderId="3" xfId="1" applyFont="1" applyFill="1" applyBorder="1" applyAlignment="1">
      <alignment shrinkToFit="1"/>
    </xf>
    <xf numFmtId="43" fontId="11" fillId="0" borderId="3" xfId="1" applyFont="1" applyFill="1" applyBorder="1" applyAlignment="1">
      <alignment shrinkToFit="1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43" fontId="5" fillId="0" borderId="3" xfId="1" applyFont="1" applyFill="1" applyBorder="1" applyAlignment="1">
      <alignment horizontal="center" shrinkToFit="1"/>
    </xf>
    <xf numFmtId="43" fontId="21" fillId="0" borderId="3" xfId="1" applyFont="1" applyFill="1" applyBorder="1" applyAlignment="1">
      <alignment horizontal="center" shrinkToFit="1"/>
    </xf>
    <xf numFmtId="43" fontId="21" fillId="0" borderId="4" xfId="1" applyFont="1" applyFill="1" applyBorder="1" applyAlignment="1">
      <alignment horizontal="center" shrinkToFit="1"/>
    </xf>
    <xf numFmtId="43" fontId="21" fillId="0" borderId="5" xfId="1" applyFont="1" applyFill="1" applyBorder="1" applyAlignment="1">
      <alignment horizontal="center" shrinkToFit="1"/>
    </xf>
    <xf numFmtId="0" fontId="5" fillId="0" borderId="3" xfId="0" applyFont="1" applyBorder="1" applyAlignment="1">
      <alignment vertical="center" shrinkToFit="1"/>
    </xf>
    <xf numFmtId="43" fontId="5" fillId="0" borderId="3" xfId="1" applyFont="1" applyFill="1" applyBorder="1" applyAlignment="1" applyProtection="1">
      <protection locked="0"/>
    </xf>
    <xf numFmtId="0" fontId="33" fillId="0" borderId="0" xfId="15" applyFont="1" applyAlignment="1">
      <alignment horizontal="center" vertical="center"/>
    </xf>
    <xf numFmtId="0" fontId="33" fillId="0" borderId="0" xfId="15" applyFont="1" applyAlignment="1">
      <alignment vertical="center"/>
    </xf>
    <xf numFmtId="43" fontId="7" fillId="0" borderId="5" xfId="1" applyFont="1" applyFill="1" applyBorder="1" applyAlignment="1">
      <alignment shrinkToFit="1"/>
    </xf>
    <xf numFmtId="43" fontId="5" fillId="0" borderId="0" xfId="7" applyFont="1"/>
    <xf numFmtId="0" fontId="33" fillId="0" borderId="0" xfId="15" applyFont="1" applyAlignment="1">
      <alignment vertical="center"/>
    </xf>
    <xf numFmtId="0" fontId="33" fillId="0" borderId="0" xfId="15" applyFont="1" applyAlignment="1">
      <alignment horizontal="center" vertical="center"/>
    </xf>
    <xf numFmtId="43" fontId="7" fillId="0" borderId="22" xfId="1" applyFont="1" applyFill="1" applyBorder="1"/>
    <xf numFmtId="43" fontId="11" fillId="0" borderId="2" xfId="1" applyFont="1" applyFill="1" applyBorder="1"/>
    <xf numFmtId="43" fontId="21" fillId="0" borderId="22" xfId="1" applyFont="1" applyFill="1" applyBorder="1" applyAlignment="1">
      <alignment horizontal="center" shrinkToFit="1"/>
    </xf>
    <xf numFmtId="43" fontId="21" fillId="0" borderId="2" xfId="1" applyFont="1" applyFill="1" applyBorder="1" applyAlignment="1">
      <alignment horizontal="center" shrinkToFit="1"/>
    </xf>
    <xf numFmtId="43" fontId="13" fillId="0" borderId="22" xfId="1" applyFont="1" applyFill="1" applyBorder="1" applyAlignment="1">
      <alignment horizontal="center"/>
    </xf>
    <xf numFmtId="43" fontId="13" fillId="0" borderId="2" xfId="1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33" fillId="0" borderId="0" xfId="15" applyFont="1" applyAlignment="1">
      <alignment vertical="center"/>
    </xf>
    <xf numFmtId="0" fontId="33" fillId="0" borderId="0" xfId="15" applyFont="1" applyAlignment="1">
      <alignment horizontal="center" vertical="center"/>
    </xf>
    <xf numFmtId="43" fontId="14" fillId="0" borderId="4" xfId="1" applyFont="1" applyFill="1" applyBorder="1"/>
    <xf numFmtId="43" fontId="14" fillId="0" borderId="17" xfId="1" applyFont="1" applyFill="1" applyBorder="1"/>
    <xf numFmtId="43" fontId="14" fillId="9" borderId="3" xfId="0" applyNumberFormat="1" applyFont="1" applyFill="1" applyBorder="1"/>
    <xf numFmtId="43" fontId="7" fillId="0" borderId="5" xfId="0" applyNumberFormat="1" applyFont="1" applyBorder="1" applyAlignment="1">
      <alignment shrinkToFit="1"/>
    </xf>
    <xf numFmtId="43" fontId="12" fillId="0" borderId="3" xfId="1" applyFont="1" applyFill="1" applyBorder="1" applyAlignment="1">
      <alignment shrinkToFit="1"/>
    </xf>
    <xf numFmtId="43" fontId="16" fillId="0" borderId="3" xfId="1" applyFont="1" applyFill="1" applyBorder="1" applyAlignment="1"/>
    <xf numFmtId="43" fontId="14" fillId="3" borderId="3" xfId="0" applyNumberFormat="1" applyFont="1" applyFill="1" applyBorder="1"/>
    <xf numFmtId="43" fontId="13" fillId="0" borderId="5" xfId="1" applyFont="1" applyFill="1" applyBorder="1" applyAlignment="1">
      <alignment horizontal="center" shrinkToFit="1"/>
    </xf>
    <xf numFmtId="43" fontId="13" fillId="0" borderId="4" xfId="1" applyFont="1" applyFill="1" applyBorder="1" applyAlignment="1">
      <alignment horizontal="center" shrinkToFit="1"/>
    </xf>
    <xf numFmtId="0" fontId="7" fillId="0" borderId="1" xfId="0" applyFont="1" applyBorder="1" applyAlignment="1">
      <alignment shrinkToFit="1"/>
    </xf>
    <xf numFmtId="43" fontId="12" fillId="9" borderId="3" xfId="0" applyNumberFormat="1" applyFont="1" applyFill="1" applyBorder="1" applyAlignment="1">
      <alignment shrinkToFit="1"/>
    </xf>
    <xf numFmtId="43" fontId="14" fillId="0" borderId="0" xfId="0" applyNumberFormat="1" applyFont="1"/>
    <xf numFmtId="43" fontId="7" fillId="0" borderId="0" xfId="1" applyFont="1" applyFill="1" applyBorder="1"/>
    <xf numFmtId="0" fontId="33" fillId="0" borderId="0" xfId="15" applyFont="1" applyAlignment="1">
      <alignment horizontal="center" vertical="center"/>
    </xf>
    <xf numFmtId="0" fontId="33" fillId="0" borderId="0" xfId="15" applyFont="1" applyAlignment="1">
      <alignment vertical="center"/>
    </xf>
    <xf numFmtId="0" fontId="7" fillId="0" borderId="3" xfId="0" applyFont="1" applyBorder="1" applyAlignment="1">
      <alignment shrinkToFit="1"/>
    </xf>
    <xf numFmtId="0" fontId="5" fillId="0" borderId="1" xfId="10" applyFont="1" applyBorder="1"/>
    <xf numFmtId="0" fontId="33" fillId="0" borderId="0" xfId="15" applyFont="1" applyAlignment="1">
      <alignment vertical="center"/>
    </xf>
    <xf numFmtId="0" fontId="33" fillId="0" borderId="0" xfId="15" applyFont="1" applyAlignment="1">
      <alignment horizontal="center" vertical="center"/>
    </xf>
    <xf numFmtId="43" fontId="11" fillId="0" borderId="6" xfId="1" applyFont="1" applyFill="1" applyBorder="1" applyAlignment="1">
      <alignment horizontal="center" vertical="center" textRotation="90" wrapText="1"/>
    </xf>
    <xf numFmtId="43" fontId="11" fillId="0" borderId="12" xfId="1" applyFont="1" applyFill="1" applyBorder="1" applyAlignment="1">
      <alignment horizontal="center" vertical="center" textRotation="90"/>
    </xf>
    <xf numFmtId="43" fontId="11" fillId="0" borderId="13" xfId="1" applyFont="1" applyFill="1" applyBorder="1" applyAlignment="1">
      <alignment horizontal="center" vertical="center" textRotation="90"/>
    </xf>
    <xf numFmtId="0" fontId="9" fillId="0" borderId="0" xfId="16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textRotation="90"/>
    </xf>
    <xf numFmtId="43" fontId="7" fillId="0" borderId="3" xfId="1" applyFont="1" applyFill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12" fillId="0" borderId="5" xfId="0" applyFont="1" applyBorder="1" applyAlignment="1">
      <alignment horizontal="center"/>
    </xf>
    <xf numFmtId="43" fontId="11" fillId="0" borderId="6" xfId="0" applyNumberFormat="1" applyFont="1" applyBorder="1" applyAlignment="1">
      <alignment horizontal="center" vertical="center" textRotation="90" wrapText="1"/>
    </xf>
    <xf numFmtId="43" fontId="11" fillId="0" borderId="12" xfId="0" applyNumberFormat="1" applyFont="1" applyBorder="1" applyAlignment="1">
      <alignment horizontal="center" vertical="center" textRotation="90"/>
    </xf>
    <xf numFmtId="43" fontId="11" fillId="0" borderId="13" xfId="0" applyNumberFormat="1" applyFont="1" applyBorder="1" applyAlignment="1">
      <alignment horizontal="center" vertical="center" textRotation="90"/>
    </xf>
    <xf numFmtId="43" fontId="7" fillId="0" borderId="6" xfId="1" applyFont="1" applyFill="1" applyBorder="1" applyAlignment="1">
      <alignment horizontal="center" vertical="center" textRotation="90"/>
    </xf>
    <xf numFmtId="43" fontId="7" fillId="0" borderId="12" xfId="1" applyFont="1" applyFill="1" applyBorder="1" applyAlignment="1">
      <alignment horizontal="center" vertical="center" textRotation="90"/>
    </xf>
    <xf numFmtId="43" fontId="7" fillId="0" borderId="13" xfId="1" applyFont="1" applyFill="1" applyBorder="1" applyAlignment="1">
      <alignment horizontal="center" vertical="center" textRotation="90"/>
    </xf>
    <xf numFmtId="43" fontId="7" fillId="0" borderId="14" xfId="1" applyFont="1" applyFill="1" applyBorder="1" applyAlignment="1">
      <alignment horizontal="center" vertical="center" textRotation="90"/>
    </xf>
    <xf numFmtId="43" fontId="7" fillId="0" borderId="8" xfId="1" applyFont="1" applyFill="1" applyBorder="1" applyAlignment="1">
      <alignment horizontal="center" vertical="center" textRotation="90"/>
    </xf>
    <xf numFmtId="43" fontId="7" fillId="0" borderId="7" xfId="1" applyFont="1" applyFill="1" applyBorder="1" applyAlignment="1">
      <alignment horizontal="center" vertical="center" textRotation="90"/>
    </xf>
    <xf numFmtId="43" fontId="7" fillId="0" borderId="6" xfId="1" applyFont="1" applyFill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textRotation="90" wrapText="1"/>
    </xf>
    <xf numFmtId="0" fontId="7" fillId="0" borderId="12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/>
    </xf>
    <xf numFmtId="0" fontId="7" fillId="0" borderId="6" xfId="0" applyFont="1" applyBorder="1" applyAlignment="1">
      <alignment horizontal="center" vertical="center" textRotation="90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12" xfId="0" applyFont="1" applyBorder="1" applyAlignment="1">
      <alignment horizontal="center" vertical="center" textRotation="90"/>
    </xf>
    <xf numFmtId="0" fontId="11" fillId="0" borderId="13" xfId="0" applyFont="1" applyBorder="1" applyAlignment="1">
      <alignment horizontal="center" vertical="center" textRotation="90"/>
    </xf>
    <xf numFmtId="0" fontId="7" fillId="0" borderId="14" xfId="0" applyFont="1" applyBorder="1" applyAlignment="1">
      <alignment horizontal="center" vertical="center" textRotation="90"/>
    </xf>
    <xf numFmtId="0" fontId="7" fillId="0" borderId="8" xfId="0" applyFont="1" applyBorder="1" applyAlignment="1">
      <alignment horizontal="center" vertical="center" textRotation="90"/>
    </xf>
    <xf numFmtId="0" fontId="7" fillId="0" borderId="7" xfId="0" applyFont="1" applyBorder="1" applyAlignment="1">
      <alignment horizontal="center" vertical="center" textRotation="90"/>
    </xf>
    <xf numFmtId="0" fontId="17" fillId="0" borderId="6" xfId="0" applyFont="1" applyBorder="1" applyAlignment="1">
      <alignment horizontal="center" vertical="center" textRotation="90" wrapText="1"/>
    </xf>
    <xf numFmtId="0" fontId="17" fillId="0" borderId="12" xfId="0" applyFont="1" applyBorder="1" applyAlignment="1">
      <alignment horizontal="center" vertical="center" textRotation="90"/>
    </xf>
    <xf numFmtId="0" fontId="17" fillId="0" borderId="13" xfId="0" applyFont="1" applyBorder="1" applyAlignment="1">
      <alignment horizontal="center" vertical="center" textRotation="90"/>
    </xf>
    <xf numFmtId="0" fontId="11" fillId="0" borderId="6" xfId="0" applyFont="1" applyBorder="1" applyAlignment="1">
      <alignment horizontal="center" vertical="center" textRotation="90"/>
    </xf>
    <xf numFmtId="43" fontId="7" fillId="0" borderId="6" xfId="1" applyFont="1" applyFill="1" applyBorder="1" applyAlignment="1">
      <alignment horizontal="center" vertical="center"/>
    </xf>
    <xf numFmtId="43" fontId="7" fillId="0" borderId="12" xfId="1" applyFont="1" applyFill="1" applyBorder="1" applyAlignment="1">
      <alignment horizontal="center" vertical="center"/>
    </xf>
    <xf numFmtId="43" fontId="7" fillId="0" borderId="13" xfId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 textRotation="90" wrapText="1"/>
    </xf>
    <xf numFmtId="0" fontId="19" fillId="0" borderId="12" xfId="0" applyFont="1" applyBorder="1" applyAlignment="1">
      <alignment horizontal="center" vertical="center" textRotation="90"/>
    </xf>
    <xf numFmtId="0" fontId="19" fillId="0" borderId="13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33" fillId="0" borderId="0" xfId="15" applyFont="1" applyAlignment="1">
      <alignment vertical="center"/>
    </xf>
    <xf numFmtId="0" fontId="33" fillId="0" borderId="0" xfId="15" applyFont="1" applyAlignment="1">
      <alignment horizontal="center" vertical="center"/>
    </xf>
    <xf numFmtId="0" fontId="33" fillId="0" borderId="8" xfId="15" applyFont="1" applyBorder="1" applyAlignment="1">
      <alignment horizontal="center" vertical="center"/>
    </xf>
    <xf numFmtId="0" fontId="33" fillId="0" borderId="9" xfId="15" applyFont="1" applyBorder="1" applyAlignment="1">
      <alignment horizontal="center" vertical="center"/>
    </xf>
    <xf numFmtId="0" fontId="33" fillId="0" borderId="7" xfId="15" applyFont="1" applyBorder="1" applyAlignment="1">
      <alignment horizontal="center" vertical="center"/>
    </xf>
    <xf numFmtId="0" fontId="33" fillId="0" borderId="16" xfId="15" applyFont="1" applyBorder="1" applyAlignment="1">
      <alignment horizontal="center" vertical="center"/>
    </xf>
    <xf numFmtId="0" fontId="33" fillId="0" borderId="10" xfId="15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3" fillId="0" borderId="0" xfId="15" applyFont="1" applyBorder="1" applyAlignment="1">
      <alignment horizontal="center" vertical="center"/>
    </xf>
    <xf numFmtId="0" fontId="33" fillId="0" borderId="0" xfId="15" applyFont="1" applyAlignment="1">
      <alignment vertical="center" shrinkToFit="1"/>
    </xf>
    <xf numFmtId="0" fontId="35" fillId="0" borderId="0" xfId="15" applyFont="1" applyAlignment="1">
      <alignment vertical="center"/>
    </xf>
  </cellXfs>
  <cellStyles count="20">
    <cellStyle name="Comma" xfId="1" builtinId="3"/>
    <cellStyle name="Normal" xfId="0" builtinId="0"/>
    <cellStyle name="เครื่องหมายจุลภาค 10" xfId="2" xr:uid="{00000000-0005-0000-0000-000002000000}"/>
    <cellStyle name="เครื่องหมายจุลภาค 11" xfId="3" xr:uid="{00000000-0005-0000-0000-000003000000}"/>
    <cellStyle name="เครื่องหมายจุลภาค 12" xfId="4" xr:uid="{00000000-0005-0000-0000-000004000000}"/>
    <cellStyle name="เครื่องหมายจุลภาค 13" xfId="5" xr:uid="{00000000-0005-0000-0000-000005000000}"/>
    <cellStyle name="เครื่องหมายจุลภาค 18" xfId="6" xr:uid="{00000000-0005-0000-0000-000006000000}"/>
    <cellStyle name="เครื่องหมายจุลภาค 2" xfId="7" xr:uid="{00000000-0005-0000-0000-000007000000}"/>
    <cellStyle name="เครื่องหมายจุลภาค 9" xfId="8" xr:uid="{00000000-0005-0000-0000-000008000000}"/>
    <cellStyle name="ปกติ 12" xfId="9" xr:uid="{00000000-0005-0000-0000-000009000000}"/>
    <cellStyle name="ปกติ 13" xfId="10" xr:uid="{00000000-0005-0000-0000-00000A000000}"/>
    <cellStyle name="ปกติ 14" xfId="11" xr:uid="{00000000-0005-0000-0000-00000B000000}"/>
    <cellStyle name="ปกติ 15" xfId="12" xr:uid="{00000000-0005-0000-0000-00000C000000}"/>
    <cellStyle name="ปกติ 16" xfId="13" xr:uid="{00000000-0005-0000-0000-00000D000000}"/>
    <cellStyle name="ปกติ 17" xfId="14" xr:uid="{00000000-0005-0000-0000-00000E000000}"/>
    <cellStyle name="ปกติ 18" xfId="15" xr:uid="{00000000-0005-0000-0000-00000F000000}"/>
    <cellStyle name="ปกติ 2" xfId="16" xr:uid="{00000000-0005-0000-0000-000010000000}"/>
    <cellStyle name="ปกติ 3" xfId="17" xr:uid="{00000000-0005-0000-0000-000011000000}"/>
    <cellStyle name="ปกติ 4" xfId="18" xr:uid="{00000000-0005-0000-0000-000012000000}"/>
    <cellStyle name="ปกติ 5" xfId="19" xr:uid="{00000000-0005-0000-0000-000013000000}"/>
  </cellStyles>
  <dxfs count="0"/>
  <tableStyles count="0" defaultTableStyle="TableStyleMedium9" defaultPivotStyle="PivotStyleLight16"/>
  <colors>
    <mruColors>
      <color rgb="FFFF99CC"/>
      <color rgb="FFFC8EEF"/>
      <color rgb="FFB67E1A"/>
      <color rgb="FF0B2B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785808</xdr:colOff>
      <xdr:row>17</xdr:row>
      <xdr:rowOff>154781</xdr:rowOff>
    </xdr:from>
    <xdr:to>
      <xdr:col>6</xdr:col>
      <xdr:colOff>654840</xdr:colOff>
      <xdr:row>19</xdr:row>
      <xdr:rowOff>202406</xdr:rowOff>
    </xdr:to>
    <xdr:pic>
      <xdr:nvPicPr>
        <xdr:cNvPr id="27" name="รูปภาพ 26" descr="img20200424_09520531.jpg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46" y="3798094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9010</xdr:colOff>
      <xdr:row>0</xdr:row>
      <xdr:rowOff>59530</xdr:rowOff>
    </xdr:from>
    <xdr:to>
      <xdr:col>2</xdr:col>
      <xdr:colOff>440531</xdr:colOff>
      <xdr:row>3</xdr:row>
      <xdr:rowOff>148703</xdr:rowOff>
    </xdr:to>
    <xdr:pic>
      <xdr:nvPicPr>
        <xdr:cNvPr id="54" name="รูปภาพ 53" descr="ตรา รพ..jpg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7635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6629</xdr:colOff>
      <xdr:row>22</xdr:row>
      <xdr:rowOff>57150</xdr:rowOff>
    </xdr:from>
    <xdr:to>
      <xdr:col>2</xdr:col>
      <xdr:colOff>438150</xdr:colOff>
      <xdr:row>25</xdr:row>
      <xdr:rowOff>146323</xdr:rowOff>
    </xdr:to>
    <xdr:pic>
      <xdr:nvPicPr>
        <xdr:cNvPr id="55" name="รูปภาพ 54" descr="ตรา รพ..jpg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5254" y="498633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11907</xdr:colOff>
      <xdr:row>44</xdr:row>
      <xdr:rowOff>59535</xdr:rowOff>
    </xdr:from>
    <xdr:to>
      <xdr:col>2</xdr:col>
      <xdr:colOff>443428</xdr:colOff>
      <xdr:row>47</xdr:row>
      <xdr:rowOff>148708</xdr:rowOff>
    </xdr:to>
    <xdr:pic>
      <xdr:nvPicPr>
        <xdr:cNvPr id="100" name="รูปภาพ 99" descr="ตรา รพ..jpg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32" y="948928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22</xdr:row>
      <xdr:rowOff>59530</xdr:rowOff>
    </xdr:from>
    <xdr:to>
      <xdr:col>11</xdr:col>
      <xdr:colOff>443418</xdr:colOff>
      <xdr:row>25</xdr:row>
      <xdr:rowOff>148703</xdr:rowOff>
    </xdr:to>
    <xdr:pic>
      <xdr:nvPicPr>
        <xdr:cNvPr id="101" name="รูปภาพ 100" descr="ตรา รพ..jpg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272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44</xdr:row>
      <xdr:rowOff>59530</xdr:rowOff>
    </xdr:from>
    <xdr:to>
      <xdr:col>11</xdr:col>
      <xdr:colOff>455324</xdr:colOff>
      <xdr:row>47</xdr:row>
      <xdr:rowOff>148703</xdr:rowOff>
    </xdr:to>
    <xdr:pic>
      <xdr:nvPicPr>
        <xdr:cNvPr id="102" name="รูปภาพ 101" descr="ตรา รพ..jpg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49887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66</xdr:row>
      <xdr:rowOff>59530</xdr:rowOff>
    </xdr:from>
    <xdr:to>
      <xdr:col>11</xdr:col>
      <xdr:colOff>443418</xdr:colOff>
      <xdr:row>69</xdr:row>
      <xdr:rowOff>148703</xdr:rowOff>
    </xdr:to>
    <xdr:pic>
      <xdr:nvPicPr>
        <xdr:cNvPr id="103" name="รูปภาพ 102" descr="ตรา รพ..jpg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272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66</xdr:row>
      <xdr:rowOff>59530</xdr:rowOff>
    </xdr:from>
    <xdr:to>
      <xdr:col>2</xdr:col>
      <xdr:colOff>443418</xdr:colOff>
      <xdr:row>69</xdr:row>
      <xdr:rowOff>148703</xdr:rowOff>
    </xdr:to>
    <xdr:pic>
      <xdr:nvPicPr>
        <xdr:cNvPr id="104" name="รูปภาพ 103" descr="ตรา รพ..jpg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22" y="14418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88</xdr:row>
      <xdr:rowOff>59530</xdr:rowOff>
    </xdr:from>
    <xdr:to>
      <xdr:col>11</xdr:col>
      <xdr:colOff>455324</xdr:colOff>
      <xdr:row>91</xdr:row>
      <xdr:rowOff>148703</xdr:rowOff>
    </xdr:to>
    <xdr:pic>
      <xdr:nvPicPr>
        <xdr:cNvPr id="105" name="รูปภาพ 104" descr="ตรา รพ..jpg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14418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88</xdr:row>
      <xdr:rowOff>59530</xdr:rowOff>
    </xdr:from>
    <xdr:to>
      <xdr:col>2</xdr:col>
      <xdr:colOff>443418</xdr:colOff>
      <xdr:row>91</xdr:row>
      <xdr:rowOff>148703</xdr:rowOff>
    </xdr:to>
    <xdr:pic>
      <xdr:nvPicPr>
        <xdr:cNvPr id="106" name="รูปภาพ 105" descr="ตรา รพ..jpg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22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110</xdr:row>
      <xdr:rowOff>59530</xdr:rowOff>
    </xdr:from>
    <xdr:to>
      <xdr:col>11</xdr:col>
      <xdr:colOff>443418</xdr:colOff>
      <xdr:row>113</xdr:row>
      <xdr:rowOff>148703</xdr:rowOff>
    </xdr:to>
    <xdr:pic>
      <xdr:nvPicPr>
        <xdr:cNvPr id="107" name="รูปภาพ 106" descr="ตรา รพ..jpg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272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154</xdr:row>
      <xdr:rowOff>59530</xdr:rowOff>
    </xdr:from>
    <xdr:to>
      <xdr:col>2</xdr:col>
      <xdr:colOff>455324</xdr:colOff>
      <xdr:row>157</xdr:row>
      <xdr:rowOff>148703</xdr:rowOff>
    </xdr:to>
    <xdr:pic>
      <xdr:nvPicPr>
        <xdr:cNvPr id="110" name="รูปภาพ 109" descr="ตรา รพ..jpg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2428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132</xdr:row>
      <xdr:rowOff>59530</xdr:rowOff>
    </xdr:from>
    <xdr:to>
      <xdr:col>11</xdr:col>
      <xdr:colOff>455324</xdr:colOff>
      <xdr:row>135</xdr:row>
      <xdr:rowOff>148703</xdr:rowOff>
    </xdr:to>
    <xdr:pic>
      <xdr:nvPicPr>
        <xdr:cNvPr id="111" name="รูปภาพ 110" descr="ตรา รพ..jpg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176</xdr:row>
      <xdr:rowOff>59530</xdr:rowOff>
    </xdr:from>
    <xdr:to>
      <xdr:col>2</xdr:col>
      <xdr:colOff>443418</xdr:colOff>
      <xdr:row>179</xdr:row>
      <xdr:rowOff>148703</xdr:rowOff>
    </xdr:to>
    <xdr:pic>
      <xdr:nvPicPr>
        <xdr:cNvPr id="112" name="รูปภาพ 111" descr="ตรา รพ..jpg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22" y="332779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154</xdr:row>
      <xdr:rowOff>59530</xdr:rowOff>
    </xdr:from>
    <xdr:to>
      <xdr:col>11</xdr:col>
      <xdr:colOff>443418</xdr:colOff>
      <xdr:row>157</xdr:row>
      <xdr:rowOff>148703</xdr:rowOff>
    </xdr:to>
    <xdr:pic>
      <xdr:nvPicPr>
        <xdr:cNvPr id="113" name="รูปภาพ 112" descr="ตรา รพ..jpg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272" y="332779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198</xdr:row>
      <xdr:rowOff>59530</xdr:rowOff>
    </xdr:from>
    <xdr:to>
      <xdr:col>2</xdr:col>
      <xdr:colOff>455324</xdr:colOff>
      <xdr:row>201</xdr:row>
      <xdr:rowOff>148703</xdr:rowOff>
    </xdr:to>
    <xdr:pic>
      <xdr:nvPicPr>
        <xdr:cNvPr id="114" name="รูปภาพ 113" descr="ตรา รพ..jpg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2428" y="37778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176</xdr:row>
      <xdr:rowOff>59530</xdr:rowOff>
    </xdr:from>
    <xdr:to>
      <xdr:col>11</xdr:col>
      <xdr:colOff>455324</xdr:colOff>
      <xdr:row>179</xdr:row>
      <xdr:rowOff>148703</xdr:rowOff>
    </xdr:to>
    <xdr:pic>
      <xdr:nvPicPr>
        <xdr:cNvPr id="115" name="รูปภาพ 114" descr="ตรา รพ..jpg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37778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220</xdr:row>
      <xdr:rowOff>59530</xdr:rowOff>
    </xdr:from>
    <xdr:to>
      <xdr:col>2</xdr:col>
      <xdr:colOff>455324</xdr:colOff>
      <xdr:row>223</xdr:row>
      <xdr:rowOff>148703</xdr:rowOff>
    </xdr:to>
    <xdr:pic>
      <xdr:nvPicPr>
        <xdr:cNvPr id="116" name="รูปภาพ 115" descr="ตรา รพ..jpg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2428" y="427077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198</xdr:row>
      <xdr:rowOff>59530</xdr:rowOff>
    </xdr:from>
    <xdr:to>
      <xdr:col>11</xdr:col>
      <xdr:colOff>455324</xdr:colOff>
      <xdr:row>201</xdr:row>
      <xdr:rowOff>148703</xdr:rowOff>
    </xdr:to>
    <xdr:pic>
      <xdr:nvPicPr>
        <xdr:cNvPr id="117" name="รูปภาพ 116" descr="ตรา รพ..jpg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427077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242</xdr:row>
      <xdr:rowOff>59530</xdr:rowOff>
    </xdr:from>
    <xdr:to>
      <xdr:col>2</xdr:col>
      <xdr:colOff>455324</xdr:colOff>
      <xdr:row>245</xdr:row>
      <xdr:rowOff>148703</xdr:rowOff>
    </xdr:to>
    <xdr:pic>
      <xdr:nvPicPr>
        <xdr:cNvPr id="118" name="รูปภาพ 117" descr="ตรา รพ..jpg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2428" y="47208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0</xdr:row>
      <xdr:rowOff>59530</xdr:rowOff>
    </xdr:from>
    <xdr:to>
      <xdr:col>11</xdr:col>
      <xdr:colOff>455324</xdr:colOff>
      <xdr:row>3</xdr:row>
      <xdr:rowOff>148703</xdr:rowOff>
    </xdr:to>
    <xdr:pic>
      <xdr:nvPicPr>
        <xdr:cNvPr id="120" name="รูปภาพ 119" descr="ตรา รพ..jpg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2428" y="52137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220</xdr:row>
      <xdr:rowOff>59530</xdr:rowOff>
    </xdr:from>
    <xdr:to>
      <xdr:col>11</xdr:col>
      <xdr:colOff>455324</xdr:colOff>
      <xdr:row>223</xdr:row>
      <xdr:rowOff>148703</xdr:rowOff>
    </xdr:to>
    <xdr:pic>
      <xdr:nvPicPr>
        <xdr:cNvPr id="121" name="รูปภาพ 120" descr="ตรา รพ..jpg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52137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11902</xdr:colOff>
      <xdr:row>242</xdr:row>
      <xdr:rowOff>59530</xdr:rowOff>
    </xdr:from>
    <xdr:to>
      <xdr:col>11</xdr:col>
      <xdr:colOff>443423</xdr:colOff>
      <xdr:row>245</xdr:row>
      <xdr:rowOff>148702</xdr:rowOff>
    </xdr:to>
    <xdr:pic>
      <xdr:nvPicPr>
        <xdr:cNvPr id="53" name="รูปภาพ 52" descr="ตรา รพ..jpg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277" y="52137468"/>
          <a:ext cx="717271" cy="732110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132</xdr:row>
      <xdr:rowOff>59530</xdr:rowOff>
    </xdr:from>
    <xdr:to>
      <xdr:col>2</xdr:col>
      <xdr:colOff>443418</xdr:colOff>
      <xdr:row>135</xdr:row>
      <xdr:rowOff>148703</xdr:rowOff>
    </xdr:to>
    <xdr:pic>
      <xdr:nvPicPr>
        <xdr:cNvPr id="63" name="รูปภาพ 62" descr="ตรา รพ..jpg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22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110</xdr:row>
      <xdr:rowOff>59530</xdr:rowOff>
    </xdr:from>
    <xdr:to>
      <xdr:col>2</xdr:col>
      <xdr:colOff>443418</xdr:colOff>
      <xdr:row>113</xdr:row>
      <xdr:rowOff>148703</xdr:rowOff>
    </xdr:to>
    <xdr:pic>
      <xdr:nvPicPr>
        <xdr:cNvPr id="57" name="รูปภาพ 56" descr="ตรา รพ..jpg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22" y="323302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785771</xdr:colOff>
      <xdr:row>39</xdr:row>
      <xdr:rowOff>166672</xdr:rowOff>
    </xdr:from>
    <xdr:to>
      <xdr:col>15</xdr:col>
      <xdr:colOff>654803</xdr:colOff>
      <xdr:row>41</xdr:row>
      <xdr:rowOff>214297</xdr:rowOff>
    </xdr:to>
    <xdr:pic>
      <xdr:nvPicPr>
        <xdr:cNvPr id="28" name="รูปภาพ 27" descr="img20200424_09520531.jpg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6959" y="852486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783427</xdr:colOff>
      <xdr:row>17</xdr:row>
      <xdr:rowOff>164303</xdr:rowOff>
    </xdr:from>
    <xdr:to>
      <xdr:col>15</xdr:col>
      <xdr:colOff>652459</xdr:colOff>
      <xdr:row>19</xdr:row>
      <xdr:rowOff>211928</xdr:rowOff>
    </xdr:to>
    <xdr:pic>
      <xdr:nvPicPr>
        <xdr:cNvPr id="29" name="รูปภาพ 28" descr="img20200424_09520531.jpg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4615" y="3807616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795328</xdr:colOff>
      <xdr:row>39</xdr:row>
      <xdr:rowOff>164295</xdr:rowOff>
    </xdr:from>
    <xdr:to>
      <xdr:col>6</xdr:col>
      <xdr:colOff>664360</xdr:colOff>
      <xdr:row>41</xdr:row>
      <xdr:rowOff>211920</xdr:rowOff>
    </xdr:to>
    <xdr:pic>
      <xdr:nvPicPr>
        <xdr:cNvPr id="30" name="รูปภาพ 29" descr="img20200424_09520531.jpg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52766" y="8522483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61</xdr:row>
      <xdr:rowOff>154782</xdr:rowOff>
    </xdr:from>
    <xdr:to>
      <xdr:col>6</xdr:col>
      <xdr:colOff>654828</xdr:colOff>
      <xdr:row>63</xdr:row>
      <xdr:rowOff>202407</xdr:rowOff>
    </xdr:to>
    <xdr:pic>
      <xdr:nvPicPr>
        <xdr:cNvPr id="31" name="รูปภาพ 30" descr="img20200424_09520531.jpg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3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785816</xdr:colOff>
      <xdr:row>61</xdr:row>
      <xdr:rowOff>154782</xdr:rowOff>
    </xdr:from>
    <xdr:to>
      <xdr:col>15</xdr:col>
      <xdr:colOff>654848</xdr:colOff>
      <xdr:row>63</xdr:row>
      <xdr:rowOff>202407</xdr:rowOff>
    </xdr:to>
    <xdr:pic>
      <xdr:nvPicPr>
        <xdr:cNvPr id="32" name="รูปภาพ 31" descr="img20200424_09520531.jpg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700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83</xdr:row>
      <xdr:rowOff>154782</xdr:rowOff>
    </xdr:from>
    <xdr:to>
      <xdr:col>6</xdr:col>
      <xdr:colOff>666734</xdr:colOff>
      <xdr:row>85</xdr:row>
      <xdr:rowOff>202407</xdr:rowOff>
    </xdr:to>
    <xdr:pic>
      <xdr:nvPicPr>
        <xdr:cNvPr id="33" name="รูปภาพ 32" descr="img20200424_09520531.jpg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55140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785822</xdr:colOff>
      <xdr:row>83</xdr:row>
      <xdr:rowOff>154782</xdr:rowOff>
    </xdr:from>
    <xdr:to>
      <xdr:col>15</xdr:col>
      <xdr:colOff>654854</xdr:colOff>
      <xdr:row>85</xdr:row>
      <xdr:rowOff>202407</xdr:rowOff>
    </xdr:to>
    <xdr:pic>
      <xdr:nvPicPr>
        <xdr:cNvPr id="34" name="รูปภาพ 33" descr="img20200424_09520531.jpg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7010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105</xdr:row>
      <xdr:rowOff>154787</xdr:rowOff>
    </xdr:from>
    <xdr:to>
      <xdr:col>6</xdr:col>
      <xdr:colOff>666734</xdr:colOff>
      <xdr:row>107</xdr:row>
      <xdr:rowOff>202412</xdr:rowOff>
    </xdr:to>
    <xdr:pic>
      <xdr:nvPicPr>
        <xdr:cNvPr id="35" name="รูปภาพ 34" descr="img20200424_09520531.jpg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55140" y="2265760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785816</xdr:colOff>
      <xdr:row>105</xdr:row>
      <xdr:rowOff>154782</xdr:rowOff>
    </xdr:from>
    <xdr:to>
      <xdr:col>15</xdr:col>
      <xdr:colOff>654848</xdr:colOff>
      <xdr:row>107</xdr:row>
      <xdr:rowOff>202407</xdr:rowOff>
    </xdr:to>
    <xdr:pic>
      <xdr:nvPicPr>
        <xdr:cNvPr id="36" name="รูปภาพ 35" descr="img20200424_09520531.jpg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7004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785816</xdr:colOff>
      <xdr:row>127</xdr:row>
      <xdr:rowOff>154782</xdr:rowOff>
    </xdr:from>
    <xdr:to>
      <xdr:col>6</xdr:col>
      <xdr:colOff>654848</xdr:colOff>
      <xdr:row>129</xdr:row>
      <xdr:rowOff>202407</xdr:rowOff>
    </xdr:to>
    <xdr:pic>
      <xdr:nvPicPr>
        <xdr:cNvPr id="37" name="รูปภาพ 36" descr="img20200424_09520531.jpg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54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127</xdr:row>
      <xdr:rowOff>154782</xdr:rowOff>
    </xdr:from>
    <xdr:to>
      <xdr:col>15</xdr:col>
      <xdr:colOff>654828</xdr:colOff>
      <xdr:row>129</xdr:row>
      <xdr:rowOff>202407</xdr:rowOff>
    </xdr:to>
    <xdr:pic>
      <xdr:nvPicPr>
        <xdr:cNvPr id="38" name="รูปภาพ 37" descr="img20200424_09520531.jpg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6984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149</xdr:row>
      <xdr:rowOff>154782</xdr:rowOff>
    </xdr:from>
    <xdr:to>
      <xdr:col>6</xdr:col>
      <xdr:colOff>654828</xdr:colOff>
      <xdr:row>151</xdr:row>
      <xdr:rowOff>202407</xdr:rowOff>
    </xdr:to>
    <xdr:pic>
      <xdr:nvPicPr>
        <xdr:cNvPr id="39" name="รูปภาพ 38" descr="img20200424_09520531.jpg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34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785816</xdr:colOff>
      <xdr:row>149</xdr:row>
      <xdr:rowOff>154787</xdr:rowOff>
    </xdr:from>
    <xdr:to>
      <xdr:col>15</xdr:col>
      <xdr:colOff>654848</xdr:colOff>
      <xdr:row>151</xdr:row>
      <xdr:rowOff>202412</xdr:rowOff>
    </xdr:to>
    <xdr:pic>
      <xdr:nvPicPr>
        <xdr:cNvPr id="40" name="รูปภาพ 39" descr="img20200424_09520531.jpg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7004" y="3208735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171</xdr:row>
      <xdr:rowOff>154787</xdr:rowOff>
    </xdr:from>
    <xdr:to>
      <xdr:col>6</xdr:col>
      <xdr:colOff>666734</xdr:colOff>
      <xdr:row>173</xdr:row>
      <xdr:rowOff>202412</xdr:rowOff>
    </xdr:to>
    <xdr:pic>
      <xdr:nvPicPr>
        <xdr:cNvPr id="41" name="รูปภาพ 40" descr="img20200424_09520531.jpg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55140" y="3680222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171</xdr:row>
      <xdr:rowOff>154782</xdr:rowOff>
    </xdr:from>
    <xdr:to>
      <xdr:col>15</xdr:col>
      <xdr:colOff>654828</xdr:colOff>
      <xdr:row>173</xdr:row>
      <xdr:rowOff>202407</xdr:rowOff>
    </xdr:to>
    <xdr:pic>
      <xdr:nvPicPr>
        <xdr:cNvPr id="42" name="รูปภาพ 41" descr="img20200424_09520531.jpg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6984" y="368022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193</xdr:row>
      <xdr:rowOff>154782</xdr:rowOff>
    </xdr:from>
    <xdr:to>
      <xdr:col>6</xdr:col>
      <xdr:colOff>666734</xdr:colOff>
      <xdr:row>195</xdr:row>
      <xdr:rowOff>202407</xdr:rowOff>
    </xdr:to>
    <xdr:pic>
      <xdr:nvPicPr>
        <xdr:cNvPr id="43" name="รูปภาพ 42" descr="img20200424_09520531.jpg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55140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193</xdr:row>
      <xdr:rowOff>154782</xdr:rowOff>
    </xdr:from>
    <xdr:to>
      <xdr:col>15</xdr:col>
      <xdr:colOff>654828</xdr:colOff>
      <xdr:row>195</xdr:row>
      <xdr:rowOff>202407</xdr:rowOff>
    </xdr:to>
    <xdr:pic>
      <xdr:nvPicPr>
        <xdr:cNvPr id="44" name="รูปภาพ 43" descr="img20200424_09520531.jpg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6984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215</xdr:row>
      <xdr:rowOff>154782</xdr:rowOff>
    </xdr:from>
    <xdr:to>
      <xdr:col>6</xdr:col>
      <xdr:colOff>654828</xdr:colOff>
      <xdr:row>217</xdr:row>
      <xdr:rowOff>202407</xdr:rowOff>
    </xdr:to>
    <xdr:pic>
      <xdr:nvPicPr>
        <xdr:cNvPr id="45" name="รูปภาพ 44" descr="img20200424_09520531.jpg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34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773890</xdr:colOff>
      <xdr:row>215</xdr:row>
      <xdr:rowOff>154782</xdr:rowOff>
    </xdr:from>
    <xdr:to>
      <xdr:col>15</xdr:col>
      <xdr:colOff>642922</xdr:colOff>
      <xdr:row>217</xdr:row>
      <xdr:rowOff>202407</xdr:rowOff>
    </xdr:to>
    <xdr:pic>
      <xdr:nvPicPr>
        <xdr:cNvPr id="46" name="รูปภาพ 45" descr="img20200424_09520531.jpg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75078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237</xdr:row>
      <xdr:rowOff>154782</xdr:rowOff>
    </xdr:from>
    <xdr:to>
      <xdr:col>6</xdr:col>
      <xdr:colOff>654828</xdr:colOff>
      <xdr:row>239</xdr:row>
      <xdr:rowOff>202407</xdr:rowOff>
    </xdr:to>
    <xdr:pic>
      <xdr:nvPicPr>
        <xdr:cNvPr id="47" name="รูปภาพ 46" descr="img20200424_09520531.jpg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34" y="50946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237</xdr:row>
      <xdr:rowOff>154782</xdr:rowOff>
    </xdr:from>
    <xdr:to>
      <xdr:col>15</xdr:col>
      <xdr:colOff>654828</xdr:colOff>
      <xdr:row>239</xdr:row>
      <xdr:rowOff>202407</xdr:rowOff>
    </xdr:to>
    <xdr:pic>
      <xdr:nvPicPr>
        <xdr:cNvPr id="48" name="รูปภาพ 47" descr="img20200424_09520531.jpg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6984" y="50946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785822</xdr:colOff>
      <xdr:row>259</xdr:row>
      <xdr:rowOff>154782</xdr:rowOff>
    </xdr:from>
    <xdr:to>
      <xdr:col>6</xdr:col>
      <xdr:colOff>654854</xdr:colOff>
      <xdr:row>261</xdr:row>
      <xdr:rowOff>202407</xdr:rowOff>
    </xdr:to>
    <xdr:pic>
      <xdr:nvPicPr>
        <xdr:cNvPr id="49" name="รูปภาพ 48" descr="img20200424_09520531.jpg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60" y="55661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785822</xdr:colOff>
      <xdr:row>259</xdr:row>
      <xdr:rowOff>154782</xdr:rowOff>
    </xdr:from>
    <xdr:to>
      <xdr:col>15</xdr:col>
      <xdr:colOff>654854</xdr:colOff>
      <xdr:row>261</xdr:row>
      <xdr:rowOff>202407</xdr:rowOff>
    </xdr:to>
    <xdr:pic>
      <xdr:nvPicPr>
        <xdr:cNvPr id="50" name="รูปภาพ 49" descr="img20200424_09520531.jpg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7010" y="55661720"/>
          <a:ext cx="1381125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23803</xdr:colOff>
      <xdr:row>154</xdr:row>
      <xdr:rowOff>59530</xdr:rowOff>
    </xdr:from>
    <xdr:to>
      <xdr:col>2</xdr:col>
      <xdr:colOff>455324</xdr:colOff>
      <xdr:row>157</xdr:row>
      <xdr:rowOff>148703</xdr:rowOff>
    </xdr:to>
    <xdr:pic>
      <xdr:nvPicPr>
        <xdr:cNvPr id="79" name="รูปภาพ 78" descr="ตรา รพ..jpg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2137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132</xdr:row>
      <xdr:rowOff>59530</xdr:rowOff>
    </xdr:from>
    <xdr:to>
      <xdr:col>11</xdr:col>
      <xdr:colOff>455324</xdr:colOff>
      <xdr:row>135</xdr:row>
      <xdr:rowOff>148703</xdr:rowOff>
    </xdr:to>
    <xdr:pic>
      <xdr:nvPicPr>
        <xdr:cNvPr id="88" name="รูปภาพ 87" descr="ตรา รพ..jpg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52137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110</xdr:row>
      <xdr:rowOff>59530</xdr:rowOff>
    </xdr:from>
    <xdr:to>
      <xdr:col>11</xdr:col>
      <xdr:colOff>455324</xdr:colOff>
      <xdr:row>113</xdr:row>
      <xdr:rowOff>148703</xdr:rowOff>
    </xdr:to>
    <xdr:pic>
      <xdr:nvPicPr>
        <xdr:cNvPr id="102" name="รูปภาพ 101" descr="ตรา รพ..jpg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47208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88</xdr:row>
      <xdr:rowOff>59530</xdr:rowOff>
    </xdr:from>
    <xdr:to>
      <xdr:col>11</xdr:col>
      <xdr:colOff>455324</xdr:colOff>
      <xdr:row>91</xdr:row>
      <xdr:rowOff>148703</xdr:rowOff>
    </xdr:to>
    <xdr:pic>
      <xdr:nvPicPr>
        <xdr:cNvPr id="104" name="รูปภาพ 103" descr="ตรา รพ..jpg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427077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66</xdr:row>
      <xdr:rowOff>59530</xdr:rowOff>
    </xdr:from>
    <xdr:to>
      <xdr:col>11</xdr:col>
      <xdr:colOff>455324</xdr:colOff>
      <xdr:row>69</xdr:row>
      <xdr:rowOff>148703</xdr:rowOff>
    </xdr:to>
    <xdr:pic>
      <xdr:nvPicPr>
        <xdr:cNvPr id="106" name="รูปภาพ 105" descr="ตรา รพ..jpg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37778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132</xdr:row>
      <xdr:rowOff>59530</xdr:rowOff>
    </xdr:from>
    <xdr:to>
      <xdr:col>2</xdr:col>
      <xdr:colOff>455324</xdr:colOff>
      <xdr:row>135</xdr:row>
      <xdr:rowOff>148703</xdr:rowOff>
    </xdr:to>
    <xdr:pic>
      <xdr:nvPicPr>
        <xdr:cNvPr id="107" name="รูปภาพ 106" descr="ตรา รพ..jpg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32779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44</xdr:row>
      <xdr:rowOff>59530</xdr:rowOff>
    </xdr:from>
    <xdr:to>
      <xdr:col>11</xdr:col>
      <xdr:colOff>455324</xdr:colOff>
      <xdr:row>47</xdr:row>
      <xdr:rowOff>148703</xdr:rowOff>
    </xdr:to>
    <xdr:pic>
      <xdr:nvPicPr>
        <xdr:cNvPr id="108" name="รูปภาพ 107" descr="ตรา รพ..jpg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332779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110</xdr:row>
      <xdr:rowOff>59530</xdr:rowOff>
    </xdr:from>
    <xdr:to>
      <xdr:col>2</xdr:col>
      <xdr:colOff>455324</xdr:colOff>
      <xdr:row>113</xdr:row>
      <xdr:rowOff>148703</xdr:rowOff>
    </xdr:to>
    <xdr:pic>
      <xdr:nvPicPr>
        <xdr:cNvPr id="109" name="รูปภาพ 108" descr="ตรา รพ..jpg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22</xdr:row>
      <xdr:rowOff>59530</xdr:rowOff>
    </xdr:from>
    <xdr:to>
      <xdr:col>11</xdr:col>
      <xdr:colOff>455324</xdr:colOff>
      <xdr:row>25</xdr:row>
      <xdr:rowOff>148703</xdr:rowOff>
    </xdr:to>
    <xdr:pic>
      <xdr:nvPicPr>
        <xdr:cNvPr id="110" name="รูปภาพ 109" descr="ตรา รพ..jpg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88</xdr:row>
      <xdr:rowOff>59530</xdr:rowOff>
    </xdr:from>
    <xdr:to>
      <xdr:col>2</xdr:col>
      <xdr:colOff>455324</xdr:colOff>
      <xdr:row>91</xdr:row>
      <xdr:rowOff>148703</xdr:rowOff>
    </xdr:to>
    <xdr:pic>
      <xdr:nvPicPr>
        <xdr:cNvPr id="111" name="รูปภาพ 110" descr="ตรา รพ..jpg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238482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0</xdr:row>
      <xdr:rowOff>59530</xdr:rowOff>
    </xdr:from>
    <xdr:to>
      <xdr:col>11</xdr:col>
      <xdr:colOff>455324</xdr:colOff>
      <xdr:row>3</xdr:row>
      <xdr:rowOff>148703</xdr:rowOff>
    </xdr:to>
    <xdr:pic>
      <xdr:nvPicPr>
        <xdr:cNvPr id="112" name="รูปภาพ 111" descr="ตรา รพ..jpg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238482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66</xdr:row>
      <xdr:rowOff>59530</xdr:rowOff>
    </xdr:from>
    <xdr:to>
      <xdr:col>2</xdr:col>
      <xdr:colOff>455324</xdr:colOff>
      <xdr:row>69</xdr:row>
      <xdr:rowOff>148703</xdr:rowOff>
    </xdr:to>
    <xdr:pic>
      <xdr:nvPicPr>
        <xdr:cNvPr id="113" name="รูปภาพ 112" descr="ตรา รพ..jpg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44</xdr:row>
      <xdr:rowOff>59530</xdr:rowOff>
    </xdr:from>
    <xdr:to>
      <xdr:col>2</xdr:col>
      <xdr:colOff>455324</xdr:colOff>
      <xdr:row>47</xdr:row>
      <xdr:rowOff>148703</xdr:rowOff>
    </xdr:to>
    <xdr:pic>
      <xdr:nvPicPr>
        <xdr:cNvPr id="115" name="รูปภาพ 114" descr="ตรา รพ..jpg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4418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220</xdr:row>
      <xdr:rowOff>59530</xdr:rowOff>
    </xdr:from>
    <xdr:to>
      <xdr:col>2</xdr:col>
      <xdr:colOff>455324</xdr:colOff>
      <xdr:row>223</xdr:row>
      <xdr:rowOff>148703</xdr:rowOff>
    </xdr:to>
    <xdr:pic>
      <xdr:nvPicPr>
        <xdr:cNvPr id="116" name="รูปภาพ 115" descr="ตรา รพ..jpg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14418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22</xdr:row>
      <xdr:rowOff>59530</xdr:rowOff>
    </xdr:from>
    <xdr:to>
      <xdr:col>2</xdr:col>
      <xdr:colOff>455324</xdr:colOff>
      <xdr:row>25</xdr:row>
      <xdr:rowOff>148703</xdr:rowOff>
    </xdr:to>
    <xdr:pic>
      <xdr:nvPicPr>
        <xdr:cNvPr id="117" name="รูปภาพ 116" descr="ตรา รพ..jpg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198</xdr:row>
      <xdr:rowOff>59530</xdr:rowOff>
    </xdr:from>
    <xdr:to>
      <xdr:col>2</xdr:col>
      <xdr:colOff>455324</xdr:colOff>
      <xdr:row>201</xdr:row>
      <xdr:rowOff>148703</xdr:rowOff>
    </xdr:to>
    <xdr:pic>
      <xdr:nvPicPr>
        <xdr:cNvPr id="120" name="รูปภาพ 119" descr="ตรา รพ..jpg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49887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176</xdr:row>
      <xdr:rowOff>59530</xdr:rowOff>
    </xdr:from>
    <xdr:to>
      <xdr:col>2</xdr:col>
      <xdr:colOff>443418</xdr:colOff>
      <xdr:row>179</xdr:row>
      <xdr:rowOff>148703</xdr:rowOff>
    </xdr:to>
    <xdr:pic>
      <xdr:nvPicPr>
        <xdr:cNvPr id="121" name="รูปภาพ 120" descr="ตรา รพ..jpg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154</xdr:row>
      <xdr:rowOff>71436</xdr:rowOff>
    </xdr:from>
    <xdr:to>
      <xdr:col>11</xdr:col>
      <xdr:colOff>443418</xdr:colOff>
      <xdr:row>157</xdr:row>
      <xdr:rowOff>160608</xdr:rowOff>
    </xdr:to>
    <xdr:pic>
      <xdr:nvPicPr>
        <xdr:cNvPr id="53" name="รูปภาพ 52" descr="ตรา รพ..jpg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33075561"/>
          <a:ext cx="717271" cy="732110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0</xdr:row>
      <xdr:rowOff>59530</xdr:rowOff>
    </xdr:from>
    <xdr:to>
      <xdr:col>2</xdr:col>
      <xdr:colOff>455324</xdr:colOff>
      <xdr:row>3</xdr:row>
      <xdr:rowOff>148703</xdr:rowOff>
    </xdr:to>
    <xdr:pic>
      <xdr:nvPicPr>
        <xdr:cNvPr id="61" name="รูปภาพ 60" descr="ตรา รพ..jpg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05703" y="553807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176</xdr:row>
      <xdr:rowOff>59530</xdr:rowOff>
    </xdr:from>
    <xdr:to>
      <xdr:col>11</xdr:col>
      <xdr:colOff>443418</xdr:colOff>
      <xdr:row>179</xdr:row>
      <xdr:rowOff>148703</xdr:rowOff>
    </xdr:to>
    <xdr:pic>
      <xdr:nvPicPr>
        <xdr:cNvPr id="57" name="รูปภาพ 56" descr="ตรา รพ..jpg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198</xdr:row>
      <xdr:rowOff>59530</xdr:rowOff>
    </xdr:from>
    <xdr:to>
      <xdr:col>11</xdr:col>
      <xdr:colOff>443418</xdr:colOff>
      <xdr:row>201</xdr:row>
      <xdr:rowOff>148703</xdr:rowOff>
    </xdr:to>
    <xdr:pic>
      <xdr:nvPicPr>
        <xdr:cNvPr id="48" name="รูปภาพ 47" descr="ตรา รพ..jpg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237</xdr:row>
      <xdr:rowOff>154782</xdr:rowOff>
    </xdr:from>
    <xdr:to>
      <xdr:col>6</xdr:col>
      <xdr:colOff>654828</xdr:colOff>
      <xdr:row>239</xdr:row>
      <xdr:rowOff>202407</xdr:rowOff>
    </xdr:to>
    <xdr:pic>
      <xdr:nvPicPr>
        <xdr:cNvPr id="24" name="รูปภาพ 23" descr="img20200424_09520531.jpg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50946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215</xdr:row>
      <xdr:rowOff>154782</xdr:rowOff>
    </xdr:from>
    <xdr:to>
      <xdr:col>15</xdr:col>
      <xdr:colOff>654828</xdr:colOff>
      <xdr:row>217</xdr:row>
      <xdr:rowOff>202407</xdr:rowOff>
    </xdr:to>
    <xdr:pic>
      <xdr:nvPicPr>
        <xdr:cNvPr id="25" name="รูปภาพ 24" descr="img20200424_09520531.jpg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50946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215</xdr:row>
      <xdr:rowOff>154782</xdr:rowOff>
    </xdr:from>
    <xdr:to>
      <xdr:col>6</xdr:col>
      <xdr:colOff>666734</xdr:colOff>
      <xdr:row>217</xdr:row>
      <xdr:rowOff>202407</xdr:rowOff>
    </xdr:to>
    <xdr:pic>
      <xdr:nvPicPr>
        <xdr:cNvPr id="26" name="รูปภาพ 25" descr="img20200424_09520531.jpg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193</xdr:row>
      <xdr:rowOff>154782</xdr:rowOff>
    </xdr:from>
    <xdr:to>
      <xdr:col>15</xdr:col>
      <xdr:colOff>654828</xdr:colOff>
      <xdr:row>195</xdr:row>
      <xdr:rowOff>202407</xdr:rowOff>
    </xdr:to>
    <xdr:pic>
      <xdr:nvPicPr>
        <xdr:cNvPr id="27" name="รูปภาพ 26" descr="img20200424_09520531.jpg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193</xdr:row>
      <xdr:rowOff>154782</xdr:rowOff>
    </xdr:from>
    <xdr:to>
      <xdr:col>6</xdr:col>
      <xdr:colOff>666734</xdr:colOff>
      <xdr:row>195</xdr:row>
      <xdr:rowOff>202407</xdr:rowOff>
    </xdr:to>
    <xdr:pic>
      <xdr:nvPicPr>
        <xdr:cNvPr id="28" name="รูปภาพ 27" descr="img20200424_09520531.jpg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171</xdr:row>
      <xdr:rowOff>154782</xdr:rowOff>
    </xdr:from>
    <xdr:to>
      <xdr:col>15</xdr:col>
      <xdr:colOff>654828</xdr:colOff>
      <xdr:row>173</xdr:row>
      <xdr:rowOff>202407</xdr:rowOff>
    </xdr:to>
    <xdr:pic>
      <xdr:nvPicPr>
        <xdr:cNvPr id="29" name="รูปภาพ 28" descr="img20200424_09520531.jpg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171</xdr:row>
      <xdr:rowOff>154782</xdr:rowOff>
    </xdr:from>
    <xdr:to>
      <xdr:col>6</xdr:col>
      <xdr:colOff>654828</xdr:colOff>
      <xdr:row>173</xdr:row>
      <xdr:rowOff>202407</xdr:rowOff>
    </xdr:to>
    <xdr:pic>
      <xdr:nvPicPr>
        <xdr:cNvPr id="30" name="รูปภาพ 29" descr="img20200424_09520531.jpg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149</xdr:row>
      <xdr:rowOff>154782</xdr:rowOff>
    </xdr:from>
    <xdr:to>
      <xdr:col>6</xdr:col>
      <xdr:colOff>654828</xdr:colOff>
      <xdr:row>151</xdr:row>
      <xdr:rowOff>202407</xdr:rowOff>
    </xdr:to>
    <xdr:pic>
      <xdr:nvPicPr>
        <xdr:cNvPr id="32" name="รูปภาพ 31" descr="img20200424_09520531.jpg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149</xdr:row>
      <xdr:rowOff>154782</xdr:rowOff>
    </xdr:from>
    <xdr:to>
      <xdr:col>15</xdr:col>
      <xdr:colOff>654828</xdr:colOff>
      <xdr:row>151</xdr:row>
      <xdr:rowOff>202407</xdr:rowOff>
    </xdr:to>
    <xdr:pic>
      <xdr:nvPicPr>
        <xdr:cNvPr id="33" name="รูปภาพ 32" descr="img20200424_09520531.jpg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127</xdr:row>
      <xdr:rowOff>154782</xdr:rowOff>
    </xdr:from>
    <xdr:to>
      <xdr:col>6</xdr:col>
      <xdr:colOff>666734</xdr:colOff>
      <xdr:row>129</xdr:row>
      <xdr:rowOff>202407</xdr:rowOff>
    </xdr:to>
    <xdr:pic>
      <xdr:nvPicPr>
        <xdr:cNvPr id="34" name="รูปภาพ 33" descr="img20200424_09520531.jpg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127</xdr:row>
      <xdr:rowOff>154782</xdr:rowOff>
    </xdr:from>
    <xdr:to>
      <xdr:col>15</xdr:col>
      <xdr:colOff>654828</xdr:colOff>
      <xdr:row>129</xdr:row>
      <xdr:rowOff>202407</xdr:rowOff>
    </xdr:to>
    <xdr:pic>
      <xdr:nvPicPr>
        <xdr:cNvPr id="35" name="รูปภาพ 34" descr="img20200424_09520531.jpg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105</xdr:row>
      <xdr:rowOff>154782</xdr:rowOff>
    </xdr:from>
    <xdr:to>
      <xdr:col>6</xdr:col>
      <xdr:colOff>654828</xdr:colOff>
      <xdr:row>107</xdr:row>
      <xdr:rowOff>202407</xdr:rowOff>
    </xdr:to>
    <xdr:pic>
      <xdr:nvPicPr>
        <xdr:cNvPr id="36" name="รูปภาพ 35" descr="img20200424_09520531.jpg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105</xdr:row>
      <xdr:rowOff>154782</xdr:rowOff>
    </xdr:from>
    <xdr:to>
      <xdr:col>15</xdr:col>
      <xdr:colOff>654828</xdr:colOff>
      <xdr:row>107</xdr:row>
      <xdr:rowOff>202407</xdr:rowOff>
    </xdr:to>
    <xdr:pic>
      <xdr:nvPicPr>
        <xdr:cNvPr id="37" name="รูปภาพ 36" descr="img20200424_09520531.jpg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83</xdr:row>
      <xdr:rowOff>154782</xdr:rowOff>
    </xdr:from>
    <xdr:to>
      <xdr:col>6</xdr:col>
      <xdr:colOff>654828</xdr:colOff>
      <xdr:row>85</xdr:row>
      <xdr:rowOff>202407</xdr:rowOff>
    </xdr:to>
    <xdr:pic>
      <xdr:nvPicPr>
        <xdr:cNvPr id="38" name="รูปภาพ 37" descr="img20200424_09520531.jpg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83</xdr:row>
      <xdr:rowOff>154782</xdr:rowOff>
    </xdr:from>
    <xdr:to>
      <xdr:col>15</xdr:col>
      <xdr:colOff>654828</xdr:colOff>
      <xdr:row>85</xdr:row>
      <xdr:rowOff>202407</xdr:rowOff>
    </xdr:to>
    <xdr:pic>
      <xdr:nvPicPr>
        <xdr:cNvPr id="39" name="รูปภาพ 38" descr="img20200424_09520531.jpg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61</xdr:row>
      <xdr:rowOff>154782</xdr:rowOff>
    </xdr:from>
    <xdr:to>
      <xdr:col>6</xdr:col>
      <xdr:colOff>654828</xdr:colOff>
      <xdr:row>63</xdr:row>
      <xdr:rowOff>202407</xdr:rowOff>
    </xdr:to>
    <xdr:pic>
      <xdr:nvPicPr>
        <xdr:cNvPr id="40" name="รูปภาพ 39" descr="img20200424_09520531.jpg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61</xdr:row>
      <xdr:rowOff>154782</xdr:rowOff>
    </xdr:from>
    <xdr:to>
      <xdr:col>15</xdr:col>
      <xdr:colOff>654828</xdr:colOff>
      <xdr:row>63</xdr:row>
      <xdr:rowOff>202407</xdr:rowOff>
    </xdr:to>
    <xdr:pic>
      <xdr:nvPicPr>
        <xdr:cNvPr id="41" name="รูปภาพ 40" descr="img20200424_09520531.jpg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39</xdr:row>
      <xdr:rowOff>154782</xdr:rowOff>
    </xdr:from>
    <xdr:to>
      <xdr:col>6</xdr:col>
      <xdr:colOff>654828</xdr:colOff>
      <xdr:row>41</xdr:row>
      <xdr:rowOff>202407</xdr:rowOff>
    </xdr:to>
    <xdr:pic>
      <xdr:nvPicPr>
        <xdr:cNvPr id="42" name="รูปภาพ 41" descr="img20200424_09520531.jpg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39</xdr:row>
      <xdr:rowOff>154782</xdr:rowOff>
    </xdr:from>
    <xdr:to>
      <xdr:col>15</xdr:col>
      <xdr:colOff>654828</xdr:colOff>
      <xdr:row>41</xdr:row>
      <xdr:rowOff>202407</xdr:rowOff>
    </xdr:to>
    <xdr:pic>
      <xdr:nvPicPr>
        <xdr:cNvPr id="43" name="รูปภาพ 42" descr="img20200424_09520531.jpg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44" name="รูปภาพ 43" descr="img20200424_09520531.jpg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17</xdr:row>
      <xdr:rowOff>154782</xdr:rowOff>
    </xdr:from>
    <xdr:to>
      <xdr:col>15</xdr:col>
      <xdr:colOff>654828</xdr:colOff>
      <xdr:row>19</xdr:row>
      <xdr:rowOff>202407</xdr:rowOff>
    </xdr:to>
    <xdr:pic>
      <xdr:nvPicPr>
        <xdr:cNvPr id="45" name="รูปภาพ 44" descr="img20200424_09520531.jpg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3798095"/>
          <a:ext cx="1381125" cy="47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0</xdr:row>
      <xdr:rowOff>59530</xdr:rowOff>
    </xdr:from>
    <xdr:to>
      <xdr:col>2</xdr:col>
      <xdr:colOff>443418</xdr:colOff>
      <xdr:row>3</xdr:row>
      <xdr:rowOff>148703</xdr:rowOff>
    </xdr:to>
    <xdr:pic>
      <xdr:nvPicPr>
        <xdr:cNvPr id="29" name="รูปภาพ 28" descr="ตรา รพ..jpg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22</xdr:row>
      <xdr:rowOff>59530</xdr:rowOff>
    </xdr:from>
    <xdr:to>
      <xdr:col>2</xdr:col>
      <xdr:colOff>443418</xdr:colOff>
      <xdr:row>25</xdr:row>
      <xdr:rowOff>148703</xdr:rowOff>
    </xdr:to>
    <xdr:pic>
      <xdr:nvPicPr>
        <xdr:cNvPr id="30" name="รูปภาพ 29" descr="ตรา รพ..jpg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38482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44</xdr:row>
      <xdr:rowOff>59530</xdr:rowOff>
    </xdr:from>
    <xdr:to>
      <xdr:col>2</xdr:col>
      <xdr:colOff>443418</xdr:colOff>
      <xdr:row>47</xdr:row>
      <xdr:rowOff>148703</xdr:rowOff>
    </xdr:to>
    <xdr:pic>
      <xdr:nvPicPr>
        <xdr:cNvPr id="31" name="รูปภาพ 30" descr="ตรา รพ..jpg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66</xdr:row>
      <xdr:rowOff>59530</xdr:rowOff>
    </xdr:from>
    <xdr:to>
      <xdr:col>2</xdr:col>
      <xdr:colOff>443418</xdr:colOff>
      <xdr:row>69</xdr:row>
      <xdr:rowOff>148703</xdr:rowOff>
    </xdr:to>
    <xdr:pic>
      <xdr:nvPicPr>
        <xdr:cNvPr id="34" name="รูปภาพ 33" descr="ตรา รพ..jpg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2779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88</xdr:row>
      <xdr:rowOff>59530</xdr:rowOff>
    </xdr:from>
    <xdr:to>
      <xdr:col>2</xdr:col>
      <xdr:colOff>443418</xdr:colOff>
      <xdr:row>91</xdr:row>
      <xdr:rowOff>148703</xdr:rowOff>
    </xdr:to>
    <xdr:pic>
      <xdr:nvPicPr>
        <xdr:cNvPr id="35" name="รูปภาพ 34" descr="ตรา รพ..jpg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3633905"/>
          <a:ext cx="717271" cy="732111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110</xdr:row>
      <xdr:rowOff>59530</xdr:rowOff>
    </xdr:from>
    <xdr:ext cx="681552" cy="732111"/>
    <xdr:pic>
      <xdr:nvPicPr>
        <xdr:cNvPr id="44" name="รูปภาพ 35" descr="ตรา รพ..jpg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59530"/>
          <a:ext cx="681552" cy="732111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132</xdr:row>
      <xdr:rowOff>59530</xdr:rowOff>
    </xdr:from>
    <xdr:ext cx="681552" cy="732111"/>
    <xdr:pic>
      <xdr:nvPicPr>
        <xdr:cNvPr id="51" name="รูปภาพ 35" descr="ตรา รพ..jpg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14204155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1</xdr:col>
      <xdr:colOff>11897</xdr:colOff>
      <xdr:row>154</xdr:row>
      <xdr:rowOff>59530</xdr:rowOff>
    </xdr:from>
    <xdr:to>
      <xdr:col>2</xdr:col>
      <xdr:colOff>467231</xdr:colOff>
      <xdr:row>157</xdr:row>
      <xdr:rowOff>148703</xdr:rowOff>
    </xdr:to>
    <xdr:pic>
      <xdr:nvPicPr>
        <xdr:cNvPr id="40" name="รูปภาพ 39" descr="ตรา รพ..jpg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7778530"/>
          <a:ext cx="741084" cy="732111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13" name="รูปภาพ 12" descr="img20200424_09520531.jpg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39</xdr:row>
      <xdr:rowOff>154782</xdr:rowOff>
    </xdr:from>
    <xdr:to>
      <xdr:col>6</xdr:col>
      <xdr:colOff>654828</xdr:colOff>
      <xdr:row>41</xdr:row>
      <xdr:rowOff>202407</xdr:rowOff>
    </xdr:to>
    <xdr:pic>
      <xdr:nvPicPr>
        <xdr:cNvPr id="15" name="รูปภาพ 14" descr="img20200424_09520531.jpg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761984</xdr:colOff>
      <xdr:row>127</xdr:row>
      <xdr:rowOff>154782</xdr:rowOff>
    </xdr:from>
    <xdr:to>
      <xdr:col>6</xdr:col>
      <xdr:colOff>631016</xdr:colOff>
      <xdr:row>129</xdr:row>
      <xdr:rowOff>202407</xdr:rowOff>
    </xdr:to>
    <xdr:pic>
      <xdr:nvPicPr>
        <xdr:cNvPr id="16" name="รูปภาพ 15" descr="img20200424_09520531.jpg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61</xdr:row>
      <xdr:rowOff>154782</xdr:rowOff>
    </xdr:from>
    <xdr:to>
      <xdr:col>6</xdr:col>
      <xdr:colOff>654828</xdr:colOff>
      <xdr:row>63</xdr:row>
      <xdr:rowOff>202407</xdr:rowOff>
    </xdr:to>
    <xdr:pic>
      <xdr:nvPicPr>
        <xdr:cNvPr id="17" name="รูปภาพ 16" descr="img20200424_09520531.jpg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761984</xdr:colOff>
      <xdr:row>149</xdr:row>
      <xdr:rowOff>154782</xdr:rowOff>
    </xdr:from>
    <xdr:to>
      <xdr:col>6</xdr:col>
      <xdr:colOff>631016</xdr:colOff>
      <xdr:row>151</xdr:row>
      <xdr:rowOff>202407</xdr:rowOff>
    </xdr:to>
    <xdr:pic>
      <xdr:nvPicPr>
        <xdr:cNvPr id="18" name="รูปภาพ 17" descr="img20200424_09520531.jpg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83</xdr:row>
      <xdr:rowOff>154782</xdr:rowOff>
    </xdr:from>
    <xdr:to>
      <xdr:col>6</xdr:col>
      <xdr:colOff>654828</xdr:colOff>
      <xdr:row>85</xdr:row>
      <xdr:rowOff>202407</xdr:rowOff>
    </xdr:to>
    <xdr:pic>
      <xdr:nvPicPr>
        <xdr:cNvPr id="19" name="รูปภาพ 18" descr="img20200424_09520531.jpg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773890</xdr:colOff>
      <xdr:row>171</xdr:row>
      <xdr:rowOff>154782</xdr:rowOff>
    </xdr:from>
    <xdr:to>
      <xdr:col>6</xdr:col>
      <xdr:colOff>642922</xdr:colOff>
      <xdr:row>173</xdr:row>
      <xdr:rowOff>202407</xdr:rowOff>
    </xdr:to>
    <xdr:pic>
      <xdr:nvPicPr>
        <xdr:cNvPr id="20" name="รูปภาพ 19" descr="img20200424_09520531.jpg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98890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105</xdr:row>
      <xdr:rowOff>154782</xdr:rowOff>
    </xdr:from>
    <xdr:to>
      <xdr:col>6</xdr:col>
      <xdr:colOff>654828</xdr:colOff>
      <xdr:row>107</xdr:row>
      <xdr:rowOff>202407</xdr:rowOff>
    </xdr:to>
    <xdr:pic>
      <xdr:nvPicPr>
        <xdr:cNvPr id="23" name="รูปภาพ 22" descr="img20200424_09520531.jpg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2087345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176</xdr:row>
      <xdr:rowOff>59530</xdr:rowOff>
    </xdr:from>
    <xdr:ext cx="681552" cy="732111"/>
    <xdr:pic>
      <xdr:nvPicPr>
        <xdr:cNvPr id="24" name="รูปภาพ 35" descr="ตรา รพ..jpg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9489280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761984</xdr:colOff>
      <xdr:row>193</xdr:row>
      <xdr:rowOff>154782</xdr:rowOff>
    </xdr:from>
    <xdr:to>
      <xdr:col>6</xdr:col>
      <xdr:colOff>631016</xdr:colOff>
      <xdr:row>195</xdr:row>
      <xdr:rowOff>202407</xdr:rowOff>
    </xdr:to>
    <xdr:pic>
      <xdr:nvPicPr>
        <xdr:cNvPr id="25" name="รูปภาพ 24" descr="img20200424_09520531.jpg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3227845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198</xdr:row>
      <xdr:rowOff>71436</xdr:rowOff>
    </xdr:from>
    <xdr:ext cx="681552" cy="732111"/>
    <xdr:pic>
      <xdr:nvPicPr>
        <xdr:cNvPr id="26" name="รูปภาพ 96" descr="ตรา รพ..jpg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9501186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215</xdr:row>
      <xdr:rowOff>154782</xdr:rowOff>
    </xdr:from>
    <xdr:ext cx="1178719" cy="476250"/>
    <xdr:pic>
      <xdr:nvPicPr>
        <xdr:cNvPr id="37" name="รูปภาพ 67" descr="img20200424_09520531.jpg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27372470"/>
          <a:ext cx="1178719" cy="476250"/>
        </a:xfrm>
        <a:prstGeom prst="rect">
          <a:avLst/>
        </a:prstGeom>
      </xdr:spPr>
    </xdr:pic>
    <xdr:clientData/>
  </xdr:oneCellAnchor>
  <xdr:twoCellAnchor editAs="oneCell">
    <xdr:from>
      <xdr:col>10</xdr:col>
      <xdr:colOff>11897</xdr:colOff>
      <xdr:row>0</xdr:row>
      <xdr:rowOff>71436</xdr:rowOff>
    </xdr:from>
    <xdr:to>
      <xdr:col>11</xdr:col>
      <xdr:colOff>443418</xdr:colOff>
      <xdr:row>3</xdr:row>
      <xdr:rowOff>160609</xdr:rowOff>
    </xdr:to>
    <xdr:pic>
      <xdr:nvPicPr>
        <xdr:cNvPr id="45" name="รูปภาพ 44" descr="ตรา รพ..jpg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71436"/>
          <a:ext cx="741084" cy="732111"/>
        </a:xfrm>
        <a:prstGeom prst="rect">
          <a:avLst/>
        </a:prstGeom>
      </xdr:spPr>
    </xdr:pic>
    <xdr:clientData/>
  </xdr:twoCellAnchor>
  <xdr:oneCellAnchor>
    <xdr:from>
      <xdr:col>12</xdr:col>
      <xdr:colOff>785796</xdr:colOff>
      <xdr:row>17</xdr:row>
      <xdr:rowOff>154782</xdr:rowOff>
    </xdr:from>
    <xdr:ext cx="1381125" cy="476250"/>
    <xdr:pic>
      <xdr:nvPicPr>
        <xdr:cNvPr id="3" name="รูปภาพ 22" descr="img20200424_09520531.jp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22657595"/>
          <a:ext cx="1381125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22</xdr:row>
      <xdr:rowOff>59530</xdr:rowOff>
    </xdr:from>
    <xdr:ext cx="717271" cy="732111"/>
    <xdr:pic>
      <xdr:nvPicPr>
        <xdr:cNvPr id="4" name="รูปภาพ 34" descr="ตรา รพ..jp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23633905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39</xdr:row>
      <xdr:rowOff>154782</xdr:rowOff>
    </xdr:from>
    <xdr:ext cx="1381125" cy="476250"/>
    <xdr:pic>
      <xdr:nvPicPr>
        <xdr:cNvPr id="5" name="รูปภาพ 22" descr="img20200424_09520531.jp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27372470"/>
          <a:ext cx="1381125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66</xdr:row>
      <xdr:rowOff>59530</xdr:rowOff>
    </xdr:from>
    <xdr:ext cx="717271" cy="732111"/>
    <xdr:pic>
      <xdr:nvPicPr>
        <xdr:cNvPr id="6" name="รูปภาพ 34" descr="ตรา รพ..jp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28348780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83</xdr:row>
      <xdr:rowOff>154782</xdr:rowOff>
    </xdr:from>
    <xdr:ext cx="1381125" cy="476250"/>
    <xdr:pic>
      <xdr:nvPicPr>
        <xdr:cNvPr id="7" name="รูปภาพ 22" descr="img20200424_09520531.jpg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32087345"/>
          <a:ext cx="1381125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44</xdr:row>
      <xdr:rowOff>59530</xdr:rowOff>
    </xdr:from>
    <xdr:ext cx="717271" cy="732111"/>
    <xdr:pic>
      <xdr:nvPicPr>
        <xdr:cNvPr id="41" name="รูปภาพ 34" descr="ตรา รพ..jpg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18919030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61</xdr:row>
      <xdr:rowOff>154782</xdr:rowOff>
    </xdr:from>
    <xdr:ext cx="1381125" cy="476250"/>
    <xdr:pic>
      <xdr:nvPicPr>
        <xdr:cNvPr id="42" name="รูปภาพ 22" descr="img20200424_09520531.jpg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22657595"/>
          <a:ext cx="1381125" cy="4762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0</xdr:row>
      <xdr:rowOff>83342</xdr:rowOff>
    </xdr:from>
    <xdr:to>
      <xdr:col>2</xdr:col>
      <xdr:colOff>443418</xdr:colOff>
      <xdr:row>3</xdr:row>
      <xdr:rowOff>172515</xdr:rowOff>
    </xdr:to>
    <xdr:pic>
      <xdr:nvPicPr>
        <xdr:cNvPr id="13" name="รูปภาพ 12" descr="ตรา รพ..jp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83342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6" name="รูปภาพ 5" descr="img20200424_09520531.jpg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0</xdr:row>
      <xdr:rowOff>59530</xdr:rowOff>
    </xdr:from>
    <xdr:to>
      <xdr:col>2</xdr:col>
      <xdr:colOff>443418</xdr:colOff>
      <xdr:row>3</xdr:row>
      <xdr:rowOff>148703</xdr:rowOff>
    </xdr:to>
    <xdr:pic>
      <xdr:nvPicPr>
        <xdr:cNvPr id="10" name="รูปภาพ 9" descr="ตรา รพ..jpg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5" name="รูปภาพ 4" descr="img20200424_09520531.jpg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22</xdr:row>
      <xdr:rowOff>59530</xdr:rowOff>
    </xdr:from>
    <xdr:to>
      <xdr:col>2</xdr:col>
      <xdr:colOff>443418</xdr:colOff>
      <xdr:row>25</xdr:row>
      <xdr:rowOff>148703</xdr:rowOff>
    </xdr:to>
    <xdr:pic>
      <xdr:nvPicPr>
        <xdr:cNvPr id="7" name="รูปภาพ 6" descr="ตรา รพ..jpg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39</xdr:row>
      <xdr:rowOff>154782</xdr:rowOff>
    </xdr:from>
    <xdr:to>
      <xdr:col>6</xdr:col>
      <xdr:colOff>654828</xdr:colOff>
      <xdr:row>41</xdr:row>
      <xdr:rowOff>202407</xdr:rowOff>
    </xdr:to>
    <xdr:pic>
      <xdr:nvPicPr>
        <xdr:cNvPr id="8" name="รูปภาพ 7" descr="img20200424_09520531.jpg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7996" y="3717132"/>
          <a:ext cx="1383507" cy="466725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44</xdr:row>
      <xdr:rowOff>59530</xdr:rowOff>
    </xdr:from>
    <xdr:ext cx="717271" cy="732111"/>
    <xdr:pic>
      <xdr:nvPicPr>
        <xdr:cNvPr id="6" name="รูปภาพ 6" descr="ตรา รพ..jpg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47744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61</xdr:row>
      <xdr:rowOff>154782</xdr:rowOff>
    </xdr:from>
    <xdr:ext cx="1381125" cy="476250"/>
    <xdr:pic>
      <xdr:nvPicPr>
        <xdr:cNvPr id="9" name="รูปภาพ 7" descr="img20200424_09520531.jpg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851297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66</xdr:row>
      <xdr:rowOff>59530</xdr:rowOff>
    </xdr:from>
    <xdr:ext cx="717271" cy="732111"/>
    <xdr:pic>
      <xdr:nvPicPr>
        <xdr:cNvPr id="11" name="รูปภาพ 9" descr="ตรา รพ..jpg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83</xdr:row>
      <xdr:rowOff>154782</xdr:rowOff>
    </xdr:from>
    <xdr:ext cx="1381125" cy="476250"/>
    <xdr:pic>
      <xdr:nvPicPr>
        <xdr:cNvPr id="12" name="รูปภาพ 4" descr="img20200424_09520531.jpg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798095"/>
          <a:ext cx="1381125" cy="4762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66</xdr:row>
      <xdr:rowOff>59530</xdr:rowOff>
    </xdr:from>
    <xdr:to>
      <xdr:col>2</xdr:col>
      <xdr:colOff>443418</xdr:colOff>
      <xdr:row>69</xdr:row>
      <xdr:rowOff>148703</xdr:rowOff>
    </xdr:to>
    <xdr:pic>
      <xdr:nvPicPr>
        <xdr:cNvPr id="14" name="รูปภาพ 13" descr="ตรา รพ..jpg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38482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44</xdr:row>
      <xdr:rowOff>59530</xdr:rowOff>
    </xdr:from>
    <xdr:to>
      <xdr:col>2</xdr:col>
      <xdr:colOff>443418</xdr:colOff>
      <xdr:row>47</xdr:row>
      <xdr:rowOff>148703</xdr:rowOff>
    </xdr:to>
    <xdr:pic>
      <xdr:nvPicPr>
        <xdr:cNvPr id="16" name="รูปภาพ 15" descr="ตรา รพ..jpg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4418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22</xdr:row>
      <xdr:rowOff>59530</xdr:rowOff>
    </xdr:from>
    <xdr:to>
      <xdr:col>2</xdr:col>
      <xdr:colOff>443418</xdr:colOff>
      <xdr:row>25</xdr:row>
      <xdr:rowOff>148703</xdr:rowOff>
    </xdr:to>
    <xdr:pic>
      <xdr:nvPicPr>
        <xdr:cNvPr id="17" name="รูปภาพ 16" descr="ตรา รพ..jpg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0</xdr:row>
      <xdr:rowOff>59530</xdr:rowOff>
    </xdr:from>
    <xdr:to>
      <xdr:col>2</xdr:col>
      <xdr:colOff>443418</xdr:colOff>
      <xdr:row>3</xdr:row>
      <xdr:rowOff>148703</xdr:rowOff>
    </xdr:to>
    <xdr:pic>
      <xdr:nvPicPr>
        <xdr:cNvPr id="18" name="รูปภาพ 17" descr="ตรา รพ..jpg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4988718"/>
          <a:ext cx="717271" cy="732111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88</xdr:row>
      <xdr:rowOff>59530</xdr:rowOff>
    </xdr:from>
    <xdr:ext cx="717271" cy="732111"/>
    <xdr:pic>
      <xdr:nvPicPr>
        <xdr:cNvPr id="11" name="รูปภาพ 95" descr="ตรา รพ..jpg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23302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1</xdr:col>
      <xdr:colOff>11897</xdr:colOff>
      <xdr:row>110</xdr:row>
      <xdr:rowOff>59530</xdr:rowOff>
    </xdr:from>
    <xdr:to>
      <xdr:col>2</xdr:col>
      <xdr:colOff>443418</xdr:colOff>
      <xdr:row>113</xdr:row>
      <xdr:rowOff>148703</xdr:rowOff>
    </xdr:to>
    <xdr:pic>
      <xdr:nvPicPr>
        <xdr:cNvPr id="28" name="รูปภาพ 27" descr="ตรา รพ..jpg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132</xdr:row>
      <xdr:rowOff>59530</xdr:rowOff>
    </xdr:from>
    <xdr:to>
      <xdr:col>2</xdr:col>
      <xdr:colOff>443418</xdr:colOff>
      <xdr:row>135</xdr:row>
      <xdr:rowOff>148703</xdr:rowOff>
    </xdr:to>
    <xdr:pic>
      <xdr:nvPicPr>
        <xdr:cNvPr id="29" name="รูปภาพ 28" descr="ตรา รพ..jpg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46696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154</xdr:row>
      <xdr:rowOff>59530</xdr:rowOff>
    </xdr:from>
    <xdr:to>
      <xdr:col>2</xdr:col>
      <xdr:colOff>443418</xdr:colOff>
      <xdr:row>157</xdr:row>
      <xdr:rowOff>148703</xdr:rowOff>
    </xdr:to>
    <xdr:pic>
      <xdr:nvPicPr>
        <xdr:cNvPr id="31" name="รูปภาพ 30" descr="ตรา รพ..jpg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92797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176</xdr:row>
      <xdr:rowOff>59530</xdr:rowOff>
    </xdr:from>
    <xdr:to>
      <xdr:col>2</xdr:col>
      <xdr:colOff>443418</xdr:colOff>
      <xdr:row>179</xdr:row>
      <xdr:rowOff>148703</xdr:rowOff>
    </xdr:to>
    <xdr:pic>
      <xdr:nvPicPr>
        <xdr:cNvPr id="33" name="รูปภาพ 32" descr="ตรา รพ..jpg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38898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198</xdr:row>
      <xdr:rowOff>59530</xdr:rowOff>
    </xdr:from>
    <xdr:to>
      <xdr:col>2</xdr:col>
      <xdr:colOff>443418</xdr:colOff>
      <xdr:row>201</xdr:row>
      <xdr:rowOff>148703</xdr:rowOff>
    </xdr:to>
    <xdr:pic>
      <xdr:nvPicPr>
        <xdr:cNvPr id="35" name="รูปภาพ 34" descr="ตรา รพ..jpg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84999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220</xdr:row>
      <xdr:rowOff>59530</xdr:rowOff>
    </xdr:from>
    <xdr:to>
      <xdr:col>2</xdr:col>
      <xdr:colOff>443418</xdr:colOff>
      <xdr:row>223</xdr:row>
      <xdr:rowOff>148703</xdr:rowOff>
    </xdr:to>
    <xdr:pic>
      <xdr:nvPicPr>
        <xdr:cNvPr id="36" name="รูปภาพ 35" descr="ตรา รพ..jpg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31100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242</xdr:row>
      <xdr:rowOff>59530</xdr:rowOff>
    </xdr:from>
    <xdr:to>
      <xdr:col>2</xdr:col>
      <xdr:colOff>443418</xdr:colOff>
      <xdr:row>245</xdr:row>
      <xdr:rowOff>148703</xdr:rowOff>
    </xdr:to>
    <xdr:pic>
      <xdr:nvPicPr>
        <xdr:cNvPr id="37" name="รูปภาพ 36" descr="ตรา รพ..jpg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77201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264</xdr:row>
      <xdr:rowOff>59530</xdr:rowOff>
    </xdr:from>
    <xdr:to>
      <xdr:col>2</xdr:col>
      <xdr:colOff>443418</xdr:colOff>
      <xdr:row>267</xdr:row>
      <xdr:rowOff>148703</xdr:rowOff>
    </xdr:to>
    <xdr:pic>
      <xdr:nvPicPr>
        <xdr:cNvPr id="39" name="รูปภาพ 38" descr="ตรา รพ..jpg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23302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286</xdr:row>
      <xdr:rowOff>59530</xdr:rowOff>
    </xdr:from>
    <xdr:to>
      <xdr:col>2</xdr:col>
      <xdr:colOff>443418</xdr:colOff>
      <xdr:row>289</xdr:row>
      <xdr:rowOff>148703</xdr:rowOff>
    </xdr:to>
    <xdr:pic>
      <xdr:nvPicPr>
        <xdr:cNvPr id="41" name="รูปภาพ 40" descr="ตรา รพ..jpg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0</xdr:row>
      <xdr:rowOff>59530</xdr:rowOff>
    </xdr:from>
    <xdr:to>
      <xdr:col>11</xdr:col>
      <xdr:colOff>455324</xdr:colOff>
      <xdr:row>3</xdr:row>
      <xdr:rowOff>148703</xdr:rowOff>
    </xdr:to>
    <xdr:pic>
      <xdr:nvPicPr>
        <xdr:cNvPr id="45" name="รูปภาพ 44" descr="ตรา รพ..jpg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4753" y="369403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22</xdr:row>
      <xdr:rowOff>59530</xdr:rowOff>
    </xdr:from>
    <xdr:to>
      <xdr:col>11</xdr:col>
      <xdr:colOff>455324</xdr:colOff>
      <xdr:row>25</xdr:row>
      <xdr:rowOff>148703</xdr:rowOff>
    </xdr:to>
    <xdr:pic>
      <xdr:nvPicPr>
        <xdr:cNvPr id="46" name="รูปภาพ 45" descr="ตรา รพ..jpg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38898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44</xdr:row>
      <xdr:rowOff>59530</xdr:rowOff>
    </xdr:from>
    <xdr:to>
      <xdr:col>11</xdr:col>
      <xdr:colOff>455324</xdr:colOff>
      <xdr:row>47</xdr:row>
      <xdr:rowOff>148703</xdr:rowOff>
    </xdr:to>
    <xdr:pic>
      <xdr:nvPicPr>
        <xdr:cNvPr id="49" name="รูปภาพ 48" descr="ตรา รพ..jpg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4753" y="231100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132</xdr:row>
      <xdr:rowOff>59530</xdr:rowOff>
    </xdr:from>
    <xdr:to>
      <xdr:col>11</xdr:col>
      <xdr:colOff>443418</xdr:colOff>
      <xdr:row>135</xdr:row>
      <xdr:rowOff>148703</xdr:rowOff>
    </xdr:to>
    <xdr:pic>
      <xdr:nvPicPr>
        <xdr:cNvPr id="52" name="รูปภาพ 51" descr="ตรา รพ..jpg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38898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66</xdr:row>
      <xdr:rowOff>59530</xdr:rowOff>
    </xdr:from>
    <xdr:to>
      <xdr:col>11</xdr:col>
      <xdr:colOff>443418</xdr:colOff>
      <xdr:row>69</xdr:row>
      <xdr:rowOff>148703</xdr:rowOff>
    </xdr:to>
    <xdr:pic>
      <xdr:nvPicPr>
        <xdr:cNvPr id="53" name="รูปภาพ 52" descr="ตรา รพ..jpg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88</xdr:row>
      <xdr:rowOff>59530</xdr:rowOff>
    </xdr:from>
    <xdr:to>
      <xdr:col>11</xdr:col>
      <xdr:colOff>443418</xdr:colOff>
      <xdr:row>91</xdr:row>
      <xdr:rowOff>148703</xdr:rowOff>
    </xdr:to>
    <xdr:pic>
      <xdr:nvPicPr>
        <xdr:cNvPr id="54" name="รูปภาพ 53" descr="ตรา รพ..jpg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46696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110</xdr:row>
      <xdr:rowOff>59530</xdr:rowOff>
    </xdr:from>
    <xdr:to>
      <xdr:col>11</xdr:col>
      <xdr:colOff>443418</xdr:colOff>
      <xdr:row>113</xdr:row>
      <xdr:rowOff>148703</xdr:rowOff>
    </xdr:to>
    <xdr:pic>
      <xdr:nvPicPr>
        <xdr:cNvPr id="55" name="รูปภาพ 54" descr="ตรา รพ..jpg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92797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154</xdr:row>
      <xdr:rowOff>59530</xdr:rowOff>
    </xdr:from>
    <xdr:to>
      <xdr:col>11</xdr:col>
      <xdr:colOff>443418</xdr:colOff>
      <xdr:row>157</xdr:row>
      <xdr:rowOff>148703</xdr:rowOff>
    </xdr:to>
    <xdr:pic>
      <xdr:nvPicPr>
        <xdr:cNvPr id="57" name="รูปภาพ 56" descr="ตรา รพ..jpg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3797" y="46696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26" name="รูปภาพ 25" descr="img20200424_09520531.jpg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281</xdr:row>
      <xdr:rowOff>154782</xdr:rowOff>
    </xdr:from>
    <xdr:to>
      <xdr:col>6</xdr:col>
      <xdr:colOff>654828</xdr:colOff>
      <xdr:row>283</xdr:row>
      <xdr:rowOff>202407</xdr:rowOff>
    </xdr:to>
    <xdr:pic>
      <xdr:nvPicPr>
        <xdr:cNvPr id="27" name="รูปภาพ 26" descr="img20200424_09520531.jpg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39</xdr:row>
      <xdr:rowOff>154782</xdr:rowOff>
    </xdr:from>
    <xdr:to>
      <xdr:col>6</xdr:col>
      <xdr:colOff>654828</xdr:colOff>
      <xdr:row>41</xdr:row>
      <xdr:rowOff>202407</xdr:rowOff>
    </xdr:to>
    <xdr:pic>
      <xdr:nvPicPr>
        <xdr:cNvPr id="30" name="รูปภาพ 29" descr="img20200424_09520531.jpg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303</xdr:row>
      <xdr:rowOff>154782</xdr:rowOff>
    </xdr:from>
    <xdr:to>
      <xdr:col>6</xdr:col>
      <xdr:colOff>654828</xdr:colOff>
      <xdr:row>305</xdr:row>
      <xdr:rowOff>202407</xdr:rowOff>
    </xdr:to>
    <xdr:pic>
      <xdr:nvPicPr>
        <xdr:cNvPr id="32" name="รูปภาพ 31" descr="img20200424_09520531.jpg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61</xdr:row>
      <xdr:rowOff>154782</xdr:rowOff>
    </xdr:from>
    <xdr:to>
      <xdr:col>6</xdr:col>
      <xdr:colOff>654828</xdr:colOff>
      <xdr:row>63</xdr:row>
      <xdr:rowOff>202407</xdr:rowOff>
    </xdr:to>
    <xdr:pic>
      <xdr:nvPicPr>
        <xdr:cNvPr id="34" name="รูปภาพ 33" descr="img20200424_09520531.jpg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17</xdr:row>
      <xdr:rowOff>154782</xdr:rowOff>
    </xdr:from>
    <xdr:to>
      <xdr:col>15</xdr:col>
      <xdr:colOff>654828</xdr:colOff>
      <xdr:row>19</xdr:row>
      <xdr:rowOff>202407</xdr:rowOff>
    </xdr:to>
    <xdr:pic>
      <xdr:nvPicPr>
        <xdr:cNvPr id="38" name="รูปภาพ 37" descr="img20200424_09520531.jpg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83</xdr:row>
      <xdr:rowOff>154782</xdr:rowOff>
    </xdr:from>
    <xdr:to>
      <xdr:col>6</xdr:col>
      <xdr:colOff>654828</xdr:colOff>
      <xdr:row>85</xdr:row>
      <xdr:rowOff>202407</xdr:rowOff>
    </xdr:to>
    <xdr:pic>
      <xdr:nvPicPr>
        <xdr:cNvPr id="40" name="รูปภาพ 39" descr="img20200424_09520531.jpg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39</xdr:row>
      <xdr:rowOff>154782</xdr:rowOff>
    </xdr:from>
    <xdr:to>
      <xdr:col>15</xdr:col>
      <xdr:colOff>654828</xdr:colOff>
      <xdr:row>41</xdr:row>
      <xdr:rowOff>202407</xdr:rowOff>
    </xdr:to>
    <xdr:pic>
      <xdr:nvPicPr>
        <xdr:cNvPr id="42" name="รูปภาพ 41" descr="img20200424_09520531.jpg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105</xdr:row>
      <xdr:rowOff>154782</xdr:rowOff>
    </xdr:from>
    <xdr:to>
      <xdr:col>6</xdr:col>
      <xdr:colOff>666734</xdr:colOff>
      <xdr:row>107</xdr:row>
      <xdr:rowOff>202407</xdr:rowOff>
    </xdr:to>
    <xdr:pic>
      <xdr:nvPicPr>
        <xdr:cNvPr id="43" name="รูปภาพ 42" descr="img20200424_09520531.jpg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61</xdr:row>
      <xdr:rowOff>154782</xdr:rowOff>
    </xdr:from>
    <xdr:to>
      <xdr:col>15</xdr:col>
      <xdr:colOff>654828</xdr:colOff>
      <xdr:row>63</xdr:row>
      <xdr:rowOff>202407</xdr:rowOff>
    </xdr:to>
    <xdr:pic>
      <xdr:nvPicPr>
        <xdr:cNvPr id="44" name="รูปภาพ 43" descr="img20200424_09520531.jpg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127</xdr:row>
      <xdr:rowOff>154782</xdr:rowOff>
    </xdr:from>
    <xdr:to>
      <xdr:col>6</xdr:col>
      <xdr:colOff>666734</xdr:colOff>
      <xdr:row>129</xdr:row>
      <xdr:rowOff>202407</xdr:rowOff>
    </xdr:to>
    <xdr:pic>
      <xdr:nvPicPr>
        <xdr:cNvPr id="47" name="รูปภาพ 46" descr="img20200424_09520531.jpg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83</xdr:row>
      <xdr:rowOff>154782</xdr:rowOff>
    </xdr:from>
    <xdr:to>
      <xdr:col>15</xdr:col>
      <xdr:colOff>654828</xdr:colOff>
      <xdr:row>85</xdr:row>
      <xdr:rowOff>202407</xdr:rowOff>
    </xdr:to>
    <xdr:pic>
      <xdr:nvPicPr>
        <xdr:cNvPr id="48" name="รูปภาพ 47" descr="img20200424_09520531.jpg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149</xdr:row>
      <xdr:rowOff>154782</xdr:rowOff>
    </xdr:from>
    <xdr:to>
      <xdr:col>6</xdr:col>
      <xdr:colOff>666734</xdr:colOff>
      <xdr:row>151</xdr:row>
      <xdr:rowOff>202407</xdr:rowOff>
    </xdr:to>
    <xdr:pic>
      <xdr:nvPicPr>
        <xdr:cNvPr id="50" name="รูปภาพ 49" descr="img20200424_09520531.jpg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105</xdr:row>
      <xdr:rowOff>154782</xdr:rowOff>
    </xdr:from>
    <xdr:to>
      <xdr:col>15</xdr:col>
      <xdr:colOff>654828</xdr:colOff>
      <xdr:row>107</xdr:row>
      <xdr:rowOff>202407</xdr:rowOff>
    </xdr:to>
    <xdr:pic>
      <xdr:nvPicPr>
        <xdr:cNvPr id="51" name="รูปภาพ 50" descr="img20200424_09520531.jpg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171</xdr:row>
      <xdr:rowOff>154782</xdr:rowOff>
    </xdr:from>
    <xdr:to>
      <xdr:col>6</xdr:col>
      <xdr:colOff>666734</xdr:colOff>
      <xdr:row>173</xdr:row>
      <xdr:rowOff>202407</xdr:rowOff>
    </xdr:to>
    <xdr:pic>
      <xdr:nvPicPr>
        <xdr:cNvPr id="56" name="รูปภาพ 55" descr="img20200424_09520531.jpg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68022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127</xdr:row>
      <xdr:rowOff>154782</xdr:rowOff>
    </xdr:from>
    <xdr:to>
      <xdr:col>15</xdr:col>
      <xdr:colOff>654828</xdr:colOff>
      <xdr:row>129</xdr:row>
      <xdr:rowOff>202407</xdr:rowOff>
    </xdr:to>
    <xdr:pic>
      <xdr:nvPicPr>
        <xdr:cNvPr id="58" name="รูปภาพ 57" descr="img20200424_09520531.jpg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368022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193</xdr:row>
      <xdr:rowOff>154782</xdr:rowOff>
    </xdr:from>
    <xdr:to>
      <xdr:col>6</xdr:col>
      <xdr:colOff>654828</xdr:colOff>
      <xdr:row>195</xdr:row>
      <xdr:rowOff>202407</xdr:rowOff>
    </xdr:to>
    <xdr:pic>
      <xdr:nvPicPr>
        <xdr:cNvPr id="60" name="รูปภาพ 59" descr="img20200424_09520531.jpg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785816</xdr:colOff>
      <xdr:row>149</xdr:row>
      <xdr:rowOff>154782</xdr:rowOff>
    </xdr:from>
    <xdr:to>
      <xdr:col>15</xdr:col>
      <xdr:colOff>654848</xdr:colOff>
      <xdr:row>151</xdr:row>
      <xdr:rowOff>202407</xdr:rowOff>
    </xdr:to>
    <xdr:pic>
      <xdr:nvPicPr>
        <xdr:cNvPr id="62" name="รูปภาพ 61" descr="img20200424_09520531.jpg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7004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215</xdr:row>
      <xdr:rowOff>154782</xdr:rowOff>
    </xdr:from>
    <xdr:to>
      <xdr:col>6</xdr:col>
      <xdr:colOff>654828</xdr:colOff>
      <xdr:row>217</xdr:row>
      <xdr:rowOff>202407</xdr:rowOff>
    </xdr:to>
    <xdr:pic>
      <xdr:nvPicPr>
        <xdr:cNvPr id="63" name="รูปภาพ 62" descr="img20200424_09520531.jpg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171</xdr:row>
      <xdr:rowOff>154782</xdr:rowOff>
    </xdr:from>
    <xdr:to>
      <xdr:col>15</xdr:col>
      <xdr:colOff>654828</xdr:colOff>
      <xdr:row>173</xdr:row>
      <xdr:rowOff>202407</xdr:rowOff>
    </xdr:to>
    <xdr:pic>
      <xdr:nvPicPr>
        <xdr:cNvPr id="64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237</xdr:row>
      <xdr:rowOff>154782</xdr:rowOff>
    </xdr:from>
    <xdr:to>
      <xdr:col>6</xdr:col>
      <xdr:colOff>666734</xdr:colOff>
      <xdr:row>239</xdr:row>
      <xdr:rowOff>202407</xdr:rowOff>
    </xdr:to>
    <xdr:pic>
      <xdr:nvPicPr>
        <xdr:cNvPr id="65" name="รูปภาพ 64" descr="img20200424_09520531.jpg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50946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259</xdr:row>
      <xdr:rowOff>154782</xdr:rowOff>
    </xdr:from>
    <xdr:to>
      <xdr:col>6</xdr:col>
      <xdr:colOff>654828</xdr:colOff>
      <xdr:row>261</xdr:row>
      <xdr:rowOff>202407</xdr:rowOff>
    </xdr:to>
    <xdr:pic>
      <xdr:nvPicPr>
        <xdr:cNvPr id="67" name="รูปภาพ 66" descr="img20200424_09520531.jpg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55661720"/>
          <a:ext cx="1381125" cy="476250"/>
        </a:xfrm>
        <a:prstGeom prst="rect">
          <a:avLst/>
        </a:prstGeom>
      </xdr:spPr>
    </xdr:pic>
    <xdr:clientData/>
  </xdr:twoCellAnchor>
  <xdr:oneCellAnchor>
    <xdr:from>
      <xdr:col>10</xdr:col>
      <xdr:colOff>11897</xdr:colOff>
      <xdr:row>176</xdr:row>
      <xdr:rowOff>59530</xdr:rowOff>
    </xdr:from>
    <xdr:ext cx="681553" cy="732111"/>
    <xdr:pic>
      <xdr:nvPicPr>
        <xdr:cNvPr id="59" name="รูปภาพ 56" descr="ตรา รพ..jpg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96053" y="42493405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193</xdr:row>
      <xdr:rowOff>154782</xdr:rowOff>
    </xdr:from>
    <xdr:ext cx="1178719" cy="476250"/>
    <xdr:pic>
      <xdr:nvPicPr>
        <xdr:cNvPr id="61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9060640" y="46231970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198</xdr:row>
      <xdr:rowOff>59530</xdr:rowOff>
    </xdr:from>
    <xdr:ext cx="681553" cy="732111"/>
    <xdr:pic>
      <xdr:nvPicPr>
        <xdr:cNvPr id="69" name="รูปภาพ 56" descr="ตรา รพ..jpg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96053" y="42493405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215</xdr:row>
      <xdr:rowOff>154782</xdr:rowOff>
    </xdr:from>
    <xdr:ext cx="1178719" cy="476250"/>
    <xdr:pic>
      <xdr:nvPicPr>
        <xdr:cNvPr id="70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9060640" y="46231970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220</xdr:row>
      <xdr:rowOff>59530</xdr:rowOff>
    </xdr:from>
    <xdr:ext cx="681553" cy="732111"/>
    <xdr:pic>
      <xdr:nvPicPr>
        <xdr:cNvPr id="66" name="รูปภาพ 56" descr="ตรา รพ..jpg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42493405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237</xdr:row>
      <xdr:rowOff>154782</xdr:rowOff>
    </xdr:from>
    <xdr:ext cx="1178719" cy="476250"/>
    <xdr:pic>
      <xdr:nvPicPr>
        <xdr:cNvPr id="68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46231970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242</xdr:row>
      <xdr:rowOff>59530</xdr:rowOff>
    </xdr:from>
    <xdr:ext cx="681553" cy="732111"/>
    <xdr:pic>
      <xdr:nvPicPr>
        <xdr:cNvPr id="73" name="รูปภาพ 56" descr="ตรา รพ..jpg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47208280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259</xdr:row>
      <xdr:rowOff>154782</xdr:rowOff>
    </xdr:from>
    <xdr:ext cx="1178719" cy="476250"/>
    <xdr:pic>
      <xdr:nvPicPr>
        <xdr:cNvPr id="74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50946845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264</xdr:row>
      <xdr:rowOff>59530</xdr:rowOff>
    </xdr:from>
    <xdr:ext cx="681553" cy="732111"/>
    <xdr:pic>
      <xdr:nvPicPr>
        <xdr:cNvPr id="75" name="รูปภาพ 56" descr="ตรา รพ..jpg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51923155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281</xdr:row>
      <xdr:rowOff>154782</xdr:rowOff>
    </xdr:from>
    <xdr:ext cx="1178719" cy="476250"/>
    <xdr:pic>
      <xdr:nvPicPr>
        <xdr:cNvPr id="76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55661720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286</xdr:row>
      <xdr:rowOff>59530</xdr:rowOff>
    </xdr:from>
    <xdr:ext cx="681553" cy="732111"/>
    <xdr:pic>
      <xdr:nvPicPr>
        <xdr:cNvPr id="79" name="รูปภาพ 56" descr="ตรา รพ..jpg">
          <a:extLst>
            <a:ext uri="{FF2B5EF4-FFF2-40B4-BE49-F238E27FC236}">
              <a16:creationId xmlns:a16="http://schemas.microsoft.com/office/drawing/2014/main" id="{00000000-0008-0000-0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56638030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303</xdr:row>
      <xdr:rowOff>154782</xdr:rowOff>
    </xdr:from>
    <xdr:ext cx="1178719" cy="476250"/>
    <xdr:pic>
      <xdr:nvPicPr>
        <xdr:cNvPr id="80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60376595"/>
          <a:ext cx="1178719" cy="4762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0</xdr:row>
      <xdr:rowOff>59530</xdr:rowOff>
    </xdr:from>
    <xdr:to>
      <xdr:col>2</xdr:col>
      <xdr:colOff>443418</xdr:colOff>
      <xdr:row>3</xdr:row>
      <xdr:rowOff>148703</xdr:rowOff>
    </xdr:to>
    <xdr:pic>
      <xdr:nvPicPr>
        <xdr:cNvPr id="5" name="รูปภาพ 4" descr="ตรา รพ..jpg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24" name="รูปภาพ 23" descr="img20200424_09520531.jpg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7996" y="3717132"/>
          <a:ext cx="1383507" cy="466725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22</xdr:row>
      <xdr:rowOff>59530</xdr:rowOff>
    </xdr:from>
    <xdr:ext cx="681552" cy="732111"/>
    <xdr:pic>
      <xdr:nvPicPr>
        <xdr:cNvPr id="4" name="รูปภาพ 3" descr="ตรา รพ..jpg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0991" y="595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39</xdr:row>
      <xdr:rowOff>154782</xdr:rowOff>
    </xdr:from>
    <xdr:ext cx="1178720" cy="476250"/>
    <xdr:pic>
      <xdr:nvPicPr>
        <xdr:cNvPr id="6" name="รูปภาพ 5" descr="img20200424_09520531.jpg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2845577" y="3798095"/>
          <a:ext cx="1178720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44</xdr:row>
      <xdr:rowOff>59530</xdr:rowOff>
    </xdr:from>
    <xdr:ext cx="681552" cy="732111"/>
    <xdr:pic>
      <xdr:nvPicPr>
        <xdr:cNvPr id="7" name="รูปภาพ 6" descr="ตรา รพ..jpg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0991" y="595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61</xdr:row>
      <xdr:rowOff>154782</xdr:rowOff>
    </xdr:from>
    <xdr:ext cx="1178720" cy="476250"/>
    <xdr:pic>
      <xdr:nvPicPr>
        <xdr:cNvPr id="8" name="รูปภาพ 7" descr="img20200424_09520531.jpg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2845577" y="3798095"/>
          <a:ext cx="1178720" cy="4762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0</xdr:row>
      <xdr:rowOff>59530</xdr:rowOff>
    </xdr:from>
    <xdr:to>
      <xdr:col>2</xdr:col>
      <xdr:colOff>443418</xdr:colOff>
      <xdr:row>3</xdr:row>
      <xdr:rowOff>148703</xdr:rowOff>
    </xdr:to>
    <xdr:pic>
      <xdr:nvPicPr>
        <xdr:cNvPr id="98" name="รูปภาพ 97" descr="ตรา รพ..jpg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37778530"/>
          <a:ext cx="717271" cy="732111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22</xdr:row>
      <xdr:rowOff>59530</xdr:rowOff>
    </xdr:from>
    <xdr:ext cx="681552" cy="732111"/>
    <xdr:pic>
      <xdr:nvPicPr>
        <xdr:cNvPr id="31" name="รูปภาพ 83" descr="ตรา รพ..jpg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4774405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8" name="รูปภาพ 7" descr="img20200424_09520531.jpg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39</xdr:row>
      <xdr:rowOff>154782</xdr:rowOff>
    </xdr:from>
    <xdr:to>
      <xdr:col>6</xdr:col>
      <xdr:colOff>654828</xdr:colOff>
      <xdr:row>41</xdr:row>
      <xdr:rowOff>202407</xdr:rowOff>
    </xdr:to>
    <xdr:pic>
      <xdr:nvPicPr>
        <xdr:cNvPr id="11" name="รูปภาพ 10" descr="img20200424_09520531.jpg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44</xdr:row>
      <xdr:rowOff>59530</xdr:rowOff>
    </xdr:from>
    <xdr:ext cx="681552" cy="732111"/>
    <xdr:pic>
      <xdr:nvPicPr>
        <xdr:cNvPr id="12" name="รูปภาพ 83" descr="ตรา รพ..jpg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8919030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785796</xdr:colOff>
      <xdr:row>61</xdr:row>
      <xdr:rowOff>154782</xdr:rowOff>
    </xdr:from>
    <xdr:to>
      <xdr:col>6</xdr:col>
      <xdr:colOff>654828</xdr:colOff>
      <xdr:row>63</xdr:row>
      <xdr:rowOff>202407</xdr:rowOff>
    </xdr:to>
    <xdr:pic>
      <xdr:nvPicPr>
        <xdr:cNvPr id="13" name="รูปภาพ 12" descr="img20200424_09520531.jpg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22657595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66</xdr:row>
      <xdr:rowOff>59530</xdr:rowOff>
    </xdr:from>
    <xdr:ext cx="681552" cy="732111"/>
    <xdr:pic>
      <xdr:nvPicPr>
        <xdr:cNvPr id="14" name="รูปภาพ 83" descr="ตรา รพ..jpg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4204155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785796</xdr:colOff>
      <xdr:row>83</xdr:row>
      <xdr:rowOff>154782</xdr:rowOff>
    </xdr:from>
    <xdr:to>
      <xdr:col>6</xdr:col>
      <xdr:colOff>654828</xdr:colOff>
      <xdr:row>85</xdr:row>
      <xdr:rowOff>202407</xdr:rowOff>
    </xdr:to>
    <xdr:pic>
      <xdr:nvPicPr>
        <xdr:cNvPr id="15" name="รูปภาพ 14" descr="img20200424_09520531.jpg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27372470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88</xdr:row>
      <xdr:rowOff>59530</xdr:rowOff>
    </xdr:from>
    <xdr:ext cx="681552" cy="732111"/>
    <xdr:pic>
      <xdr:nvPicPr>
        <xdr:cNvPr id="10" name="รูปภาพ 83" descr="ตรา รพ..jpg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4204155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785796</xdr:colOff>
      <xdr:row>105</xdr:row>
      <xdr:rowOff>154782</xdr:rowOff>
    </xdr:from>
    <xdr:to>
      <xdr:col>6</xdr:col>
      <xdr:colOff>654828</xdr:colOff>
      <xdr:row>107</xdr:row>
      <xdr:rowOff>202407</xdr:rowOff>
    </xdr:to>
    <xdr:pic>
      <xdr:nvPicPr>
        <xdr:cNvPr id="16" name="รูปภาพ 15" descr="img20200424_09520531.jpg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110</xdr:row>
      <xdr:rowOff>59530</xdr:rowOff>
    </xdr:from>
    <xdr:ext cx="681552" cy="732111"/>
    <xdr:pic>
      <xdr:nvPicPr>
        <xdr:cNvPr id="17" name="รูปภาพ 83" descr="ตรา รพ..jpg">
          <a:extLst>
            <a:ext uri="{FF2B5EF4-FFF2-40B4-BE49-F238E27FC236}">
              <a16:creationId xmlns:a16="http://schemas.microsoft.com/office/drawing/2014/main" id="{A2127EF2-6E12-40E5-85CC-C41E14A2E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89190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127</xdr:row>
      <xdr:rowOff>154782</xdr:rowOff>
    </xdr:from>
    <xdr:ext cx="1381125" cy="476250"/>
    <xdr:pic>
      <xdr:nvPicPr>
        <xdr:cNvPr id="18" name="รูปภาพ 15" descr="img20200424_09520531.jpg">
          <a:extLst>
            <a:ext uri="{FF2B5EF4-FFF2-40B4-BE49-F238E27FC236}">
              <a16:creationId xmlns:a16="http://schemas.microsoft.com/office/drawing/2014/main" id="{00F980F0-1D6E-4E85-A5BC-652CF0463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2265759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132</xdr:row>
      <xdr:rowOff>59530</xdr:rowOff>
    </xdr:from>
    <xdr:ext cx="681552" cy="732111"/>
    <xdr:pic>
      <xdr:nvPicPr>
        <xdr:cNvPr id="21" name="รูปภาพ 83" descr="ตรา รพ..jpg">
          <a:extLst>
            <a:ext uri="{FF2B5EF4-FFF2-40B4-BE49-F238E27FC236}">
              <a16:creationId xmlns:a16="http://schemas.microsoft.com/office/drawing/2014/main" id="{EEB3892C-4376-4CAA-A4BC-D917F6D29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89190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149</xdr:row>
      <xdr:rowOff>154782</xdr:rowOff>
    </xdr:from>
    <xdr:ext cx="1381125" cy="476250"/>
    <xdr:pic>
      <xdr:nvPicPr>
        <xdr:cNvPr id="22" name="รูปภาพ 15" descr="img20200424_09520531.jpg">
          <a:extLst>
            <a:ext uri="{FF2B5EF4-FFF2-40B4-BE49-F238E27FC236}">
              <a16:creationId xmlns:a16="http://schemas.microsoft.com/office/drawing/2014/main" id="{1CB4D3DC-3121-4565-9824-16ECEB37B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2265759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154</xdr:row>
      <xdr:rowOff>59530</xdr:rowOff>
    </xdr:from>
    <xdr:ext cx="681552" cy="732111"/>
    <xdr:pic>
      <xdr:nvPicPr>
        <xdr:cNvPr id="25" name="รูปภาพ 83" descr="ตรา รพ..jpg">
          <a:extLst>
            <a:ext uri="{FF2B5EF4-FFF2-40B4-BE49-F238E27FC236}">
              <a16:creationId xmlns:a16="http://schemas.microsoft.com/office/drawing/2014/main" id="{93913421-AA67-47D6-AC7F-1374B2698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834878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171</xdr:row>
      <xdr:rowOff>154782</xdr:rowOff>
    </xdr:from>
    <xdr:ext cx="1381125" cy="476250"/>
    <xdr:pic>
      <xdr:nvPicPr>
        <xdr:cNvPr id="26" name="รูปภาพ 15" descr="img20200424_09520531.jpg">
          <a:extLst>
            <a:ext uri="{FF2B5EF4-FFF2-40B4-BE49-F238E27FC236}">
              <a16:creationId xmlns:a16="http://schemas.microsoft.com/office/drawing/2014/main" id="{82BE1CCF-C2FD-4D27-9314-8DE281784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208734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176</xdr:row>
      <xdr:rowOff>59530</xdr:rowOff>
    </xdr:from>
    <xdr:ext cx="681552" cy="732111"/>
    <xdr:pic>
      <xdr:nvPicPr>
        <xdr:cNvPr id="27" name="รูปภาพ 83" descr="ตรา รพ..jpg">
          <a:extLst>
            <a:ext uri="{FF2B5EF4-FFF2-40B4-BE49-F238E27FC236}">
              <a16:creationId xmlns:a16="http://schemas.microsoft.com/office/drawing/2014/main" id="{154BCE61-8BFA-4285-A6A6-2B933ABCB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193</xdr:row>
      <xdr:rowOff>154782</xdr:rowOff>
    </xdr:from>
    <xdr:ext cx="1381125" cy="476250"/>
    <xdr:pic>
      <xdr:nvPicPr>
        <xdr:cNvPr id="28" name="รูปภาพ 15" descr="img20200424_09520531.jpg">
          <a:extLst>
            <a:ext uri="{FF2B5EF4-FFF2-40B4-BE49-F238E27FC236}">
              <a16:creationId xmlns:a16="http://schemas.microsoft.com/office/drawing/2014/main" id="{C3764645-13A4-481C-BE69-E45AACC40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198</xdr:row>
      <xdr:rowOff>59530</xdr:rowOff>
    </xdr:from>
    <xdr:ext cx="681552" cy="732111"/>
    <xdr:pic>
      <xdr:nvPicPr>
        <xdr:cNvPr id="29" name="รูปภาพ 83" descr="ตรา รพ..jpg">
          <a:extLst>
            <a:ext uri="{FF2B5EF4-FFF2-40B4-BE49-F238E27FC236}">
              <a16:creationId xmlns:a16="http://schemas.microsoft.com/office/drawing/2014/main" id="{53451906-A583-4148-B058-53C1A0F2E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215</xdr:row>
      <xdr:rowOff>154782</xdr:rowOff>
    </xdr:from>
    <xdr:ext cx="1381125" cy="476250"/>
    <xdr:pic>
      <xdr:nvPicPr>
        <xdr:cNvPr id="30" name="รูปภาพ 15" descr="img20200424_09520531.jpg">
          <a:extLst>
            <a:ext uri="{FF2B5EF4-FFF2-40B4-BE49-F238E27FC236}">
              <a16:creationId xmlns:a16="http://schemas.microsoft.com/office/drawing/2014/main" id="{03C5BF78-B24E-4C66-BFBF-F9856D780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220</xdr:row>
      <xdr:rowOff>59530</xdr:rowOff>
    </xdr:from>
    <xdr:ext cx="681552" cy="732111"/>
    <xdr:pic>
      <xdr:nvPicPr>
        <xdr:cNvPr id="32" name="รูปภาพ 83" descr="ตรา รพ..jpg">
          <a:extLst>
            <a:ext uri="{FF2B5EF4-FFF2-40B4-BE49-F238E27FC236}">
              <a16:creationId xmlns:a16="http://schemas.microsoft.com/office/drawing/2014/main" id="{B49CFBF5-911F-487D-92D4-46AE96B09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237</xdr:row>
      <xdr:rowOff>154782</xdr:rowOff>
    </xdr:from>
    <xdr:ext cx="1381125" cy="476250"/>
    <xdr:pic>
      <xdr:nvPicPr>
        <xdr:cNvPr id="33" name="รูปภาพ 15" descr="img20200424_09520531.jpg">
          <a:extLst>
            <a:ext uri="{FF2B5EF4-FFF2-40B4-BE49-F238E27FC236}">
              <a16:creationId xmlns:a16="http://schemas.microsoft.com/office/drawing/2014/main" id="{B1E6AB49-9036-474F-A468-710228453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242</xdr:row>
      <xdr:rowOff>59530</xdr:rowOff>
    </xdr:from>
    <xdr:ext cx="681552" cy="732111"/>
    <xdr:pic>
      <xdr:nvPicPr>
        <xdr:cNvPr id="34" name="รูปภาพ 83" descr="ตรา รพ..jpg">
          <a:extLst>
            <a:ext uri="{FF2B5EF4-FFF2-40B4-BE49-F238E27FC236}">
              <a16:creationId xmlns:a16="http://schemas.microsoft.com/office/drawing/2014/main" id="{85FD251C-B39A-4575-933A-15B742994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259</xdr:row>
      <xdr:rowOff>154782</xdr:rowOff>
    </xdr:from>
    <xdr:ext cx="1381125" cy="476250"/>
    <xdr:pic>
      <xdr:nvPicPr>
        <xdr:cNvPr id="35" name="รูปภาพ 15" descr="img20200424_09520531.jpg">
          <a:extLst>
            <a:ext uri="{FF2B5EF4-FFF2-40B4-BE49-F238E27FC236}">
              <a16:creationId xmlns:a16="http://schemas.microsoft.com/office/drawing/2014/main" id="{9D0B5631-71AA-4726-85CB-91766D7B2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264</xdr:row>
      <xdr:rowOff>59530</xdr:rowOff>
    </xdr:from>
    <xdr:ext cx="681552" cy="732111"/>
    <xdr:pic>
      <xdr:nvPicPr>
        <xdr:cNvPr id="38" name="รูปภาพ 83" descr="ตรา รพ..jpg">
          <a:extLst>
            <a:ext uri="{FF2B5EF4-FFF2-40B4-BE49-F238E27FC236}">
              <a16:creationId xmlns:a16="http://schemas.microsoft.com/office/drawing/2014/main" id="{B2F65A91-567E-4280-B1E8-84696D4C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281</xdr:row>
      <xdr:rowOff>154782</xdr:rowOff>
    </xdr:from>
    <xdr:ext cx="1381125" cy="476250"/>
    <xdr:pic>
      <xdr:nvPicPr>
        <xdr:cNvPr id="39" name="รูปภาพ 15" descr="img20200424_09520531.jpg">
          <a:extLst>
            <a:ext uri="{FF2B5EF4-FFF2-40B4-BE49-F238E27FC236}">
              <a16:creationId xmlns:a16="http://schemas.microsoft.com/office/drawing/2014/main" id="{C9960B3E-18B8-4487-BC76-3BF93E06E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286</xdr:row>
      <xdr:rowOff>59530</xdr:rowOff>
    </xdr:from>
    <xdr:ext cx="681552" cy="732111"/>
    <xdr:pic>
      <xdr:nvPicPr>
        <xdr:cNvPr id="40" name="รูปภาพ 83" descr="ตรา รพ..jpg">
          <a:extLst>
            <a:ext uri="{FF2B5EF4-FFF2-40B4-BE49-F238E27FC236}">
              <a16:creationId xmlns:a16="http://schemas.microsoft.com/office/drawing/2014/main" id="{61B8B70C-7FA6-41C0-AA0B-6E5D101E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303</xdr:row>
      <xdr:rowOff>154782</xdr:rowOff>
    </xdr:from>
    <xdr:ext cx="1381125" cy="476250"/>
    <xdr:pic>
      <xdr:nvPicPr>
        <xdr:cNvPr id="41" name="รูปภาพ 15" descr="img20200424_09520531.jpg">
          <a:extLst>
            <a:ext uri="{FF2B5EF4-FFF2-40B4-BE49-F238E27FC236}">
              <a16:creationId xmlns:a16="http://schemas.microsoft.com/office/drawing/2014/main" id="{D374530B-7CBE-444D-8184-1C90D0684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308</xdr:row>
      <xdr:rowOff>59530</xdr:rowOff>
    </xdr:from>
    <xdr:ext cx="681552" cy="732111"/>
    <xdr:pic>
      <xdr:nvPicPr>
        <xdr:cNvPr id="42" name="รูปภาพ 83" descr="ตรา รพ..jpg">
          <a:extLst>
            <a:ext uri="{FF2B5EF4-FFF2-40B4-BE49-F238E27FC236}">
              <a16:creationId xmlns:a16="http://schemas.microsoft.com/office/drawing/2014/main" id="{47815BF7-0BB4-42BC-AEE5-399D12BD3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325</xdr:row>
      <xdr:rowOff>154782</xdr:rowOff>
    </xdr:from>
    <xdr:ext cx="1381125" cy="476250"/>
    <xdr:pic>
      <xdr:nvPicPr>
        <xdr:cNvPr id="43" name="รูปภาพ 15" descr="img20200424_09520531.jpg">
          <a:extLst>
            <a:ext uri="{FF2B5EF4-FFF2-40B4-BE49-F238E27FC236}">
              <a16:creationId xmlns:a16="http://schemas.microsoft.com/office/drawing/2014/main" id="{17105020-13D0-43B5-9054-A9A4CE524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330</xdr:row>
      <xdr:rowOff>59530</xdr:rowOff>
    </xdr:from>
    <xdr:ext cx="681552" cy="732111"/>
    <xdr:pic>
      <xdr:nvPicPr>
        <xdr:cNvPr id="46" name="รูปภาพ 83" descr="ตรา รพ..jpg">
          <a:extLst>
            <a:ext uri="{FF2B5EF4-FFF2-40B4-BE49-F238E27FC236}">
              <a16:creationId xmlns:a16="http://schemas.microsoft.com/office/drawing/2014/main" id="{AC5C74A1-D8CF-40D1-A652-755CC2AA5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347</xdr:row>
      <xdr:rowOff>154782</xdr:rowOff>
    </xdr:from>
    <xdr:ext cx="1381125" cy="476250"/>
    <xdr:pic>
      <xdr:nvPicPr>
        <xdr:cNvPr id="47" name="รูปภาพ 15" descr="img20200424_09520531.jpg">
          <a:extLst>
            <a:ext uri="{FF2B5EF4-FFF2-40B4-BE49-F238E27FC236}">
              <a16:creationId xmlns:a16="http://schemas.microsoft.com/office/drawing/2014/main" id="{6C556CB3-EBC7-41F8-AC61-84966F403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352</xdr:row>
      <xdr:rowOff>59530</xdr:rowOff>
    </xdr:from>
    <xdr:ext cx="681552" cy="732111"/>
    <xdr:pic>
      <xdr:nvPicPr>
        <xdr:cNvPr id="48" name="รูปภาพ 83" descr="ตรา รพ..jpg">
          <a:extLst>
            <a:ext uri="{FF2B5EF4-FFF2-40B4-BE49-F238E27FC236}">
              <a16:creationId xmlns:a16="http://schemas.microsoft.com/office/drawing/2014/main" id="{BA339D7D-184A-4C0C-B371-5872C7010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369</xdr:row>
      <xdr:rowOff>154782</xdr:rowOff>
    </xdr:from>
    <xdr:ext cx="1381125" cy="476250"/>
    <xdr:pic>
      <xdr:nvPicPr>
        <xdr:cNvPr id="49" name="รูปภาพ 15" descr="img20200424_09520531.jpg">
          <a:extLst>
            <a:ext uri="{FF2B5EF4-FFF2-40B4-BE49-F238E27FC236}">
              <a16:creationId xmlns:a16="http://schemas.microsoft.com/office/drawing/2014/main" id="{10F9F560-17B6-4617-94D6-C12399002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374</xdr:row>
      <xdr:rowOff>59530</xdr:rowOff>
    </xdr:from>
    <xdr:ext cx="681552" cy="732111"/>
    <xdr:pic>
      <xdr:nvPicPr>
        <xdr:cNvPr id="50" name="รูปภาพ 83" descr="ตรา รพ..jpg">
          <a:extLst>
            <a:ext uri="{FF2B5EF4-FFF2-40B4-BE49-F238E27FC236}">
              <a16:creationId xmlns:a16="http://schemas.microsoft.com/office/drawing/2014/main" id="{D173D4C7-FAA8-4AE5-B208-F91E817F8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391</xdr:row>
      <xdr:rowOff>154782</xdr:rowOff>
    </xdr:from>
    <xdr:ext cx="1381125" cy="476250"/>
    <xdr:pic>
      <xdr:nvPicPr>
        <xdr:cNvPr id="51" name="รูปภาพ 15" descr="img20200424_09520531.jpg">
          <a:extLst>
            <a:ext uri="{FF2B5EF4-FFF2-40B4-BE49-F238E27FC236}">
              <a16:creationId xmlns:a16="http://schemas.microsoft.com/office/drawing/2014/main" id="{A5C1E516-5F6F-4821-9C72-67F29EE65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23803</xdr:colOff>
      <xdr:row>22</xdr:row>
      <xdr:rowOff>59530</xdr:rowOff>
    </xdr:from>
    <xdr:to>
      <xdr:col>2</xdr:col>
      <xdr:colOff>455324</xdr:colOff>
      <xdr:row>25</xdr:row>
      <xdr:rowOff>148703</xdr:rowOff>
    </xdr:to>
    <xdr:pic>
      <xdr:nvPicPr>
        <xdr:cNvPr id="35" name="รูปภาพ 34" descr="ตรา รพ..jpg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71487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0</xdr:row>
      <xdr:rowOff>59530</xdr:rowOff>
    </xdr:from>
    <xdr:to>
      <xdr:col>2</xdr:col>
      <xdr:colOff>455324</xdr:colOff>
      <xdr:row>3</xdr:row>
      <xdr:rowOff>148703</xdr:rowOff>
    </xdr:to>
    <xdr:pic>
      <xdr:nvPicPr>
        <xdr:cNvPr id="42" name="รูปภาพ 41" descr="ตรา รพ..jpg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176</xdr:row>
      <xdr:rowOff>59530</xdr:rowOff>
    </xdr:from>
    <xdr:to>
      <xdr:col>2</xdr:col>
      <xdr:colOff>455324</xdr:colOff>
      <xdr:row>179</xdr:row>
      <xdr:rowOff>148703</xdr:rowOff>
    </xdr:to>
    <xdr:pic>
      <xdr:nvPicPr>
        <xdr:cNvPr id="43" name="รูปภาพ 42" descr="ตรา รพ..jpg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55709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198</xdr:row>
      <xdr:rowOff>59530</xdr:rowOff>
    </xdr:from>
    <xdr:to>
      <xdr:col>2</xdr:col>
      <xdr:colOff>455324</xdr:colOff>
      <xdr:row>201</xdr:row>
      <xdr:rowOff>148703</xdr:rowOff>
    </xdr:to>
    <xdr:pic>
      <xdr:nvPicPr>
        <xdr:cNvPr id="66" name="รูปภาพ 65" descr="ตรา รพ..jpg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4249340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44</xdr:row>
      <xdr:rowOff>59530</xdr:rowOff>
    </xdr:from>
    <xdr:to>
      <xdr:col>2</xdr:col>
      <xdr:colOff>455324</xdr:colOff>
      <xdr:row>47</xdr:row>
      <xdr:rowOff>148703</xdr:rowOff>
    </xdr:to>
    <xdr:pic>
      <xdr:nvPicPr>
        <xdr:cNvPr id="70" name="รูปภาพ 69" descr="ตรา รพ..jpg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66</xdr:row>
      <xdr:rowOff>59530</xdr:rowOff>
    </xdr:from>
    <xdr:to>
      <xdr:col>2</xdr:col>
      <xdr:colOff>455324</xdr:colOff>
      <xdr:row>69</xdr:row>
      <xdr:rowOff>148703</xdr:rowOff>
    </xdr:to>
    <xdr:pic>
      <xdr:nvPicPr>
        <xdr:cNvPr id="74" name="รูปภาพ 73" descr="ตรา รพ..jpg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220</xdr:row>
      <xdr:rowOff>59530</xdr:rowOff>
    </xdr:from>
    <xdr:to>
      <xdr:col>2</xdr:col>
      <xdr:colOff>455324</xdr:colOff>
      <xdr:row>223</xdr:row>
      <xdr:rowOff>148703</xdr:rowOff>
    </xdr:to>
    <xdr:pic>
      <xdr:nvPicPr>
        <xdr:cNvPr id="76" name="รูปภาพ 75" descr="ตรา รพ..jpg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3306365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88</xdr:row>
      <xdr:rowOff>59530</xdr:rowOff>
    </xdr:from>
    <xdr:to>
      <xdr:col>2</xdr:col>
      <xdr:colOff>455324</xdr:colOff>
      <xdr:row>91</xdr:row>
      <xdr:rowOff>148703</xdr:rowOff>
    </xdr:to>
    <xdr:pic>
      <xdr:nvPicPr>
        <xdr:cNvPr id="54" name="รูปภาพ 53" descr="ตรา รพ..jpg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110</xdr:row>
      <xdr:rowOff>59530</xdr:rowOff>
    </xdr:from>
    <xdr:to>
      <xdr:col>2</xdr:col>
      <xdr:colOff>455324</xdr:colOff>
      <xdr:row>113</xdr:row>
      <xdr:rowOff>148703</xdr:rowOff>
    </xdr:to>
    <xdr:pic>
      <xdr:nvPicPr>
        <xdr:cNvPr id="57" name="รูปภาพ 56" descr="ตรา รพ..jpg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1420415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132</xdr:row>
      <xdr:rowOff>59530</xdr:rowOff>
    </xdr:from>
    <xdr:to>
      <xdr:col>2</xdr:col>
      <xdr:colOff>455324</xdr:colOff>
      <xdr:row>135</xdr:row>
      <xdr:rowOff>148703</xdr:rowOff>
    </xdr:to>
    <xdr:pic>
      <xdr:nvPicPr>
        <xdr:cNvPr id="77" name="รูปภาพ 76" descr="ตรา รพ..jpg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2363390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242</xdr:row>
      <xdr:rowOff>59530</xdr:rowOff>
    </xdr:from>
    <xdr:to>
      <xdr:col>2</xdr:col>
      <xdr:colOff>455324</xdr:colOff>
      <xdr:row>245</xdr:row>
      <xdr:rowOff>148703</xdr:rowOff>
    </xdr:to>
    <xdr:pic>
      <xdr:nvPicPr>
        <xdr:cNvPr id="79" name="รูปภาพ 78" descr="ตรา รพ..jpg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44</xdr:row>
      <xdr:rowOff>59530</xdr:rowOff>
    </xdr:from>
    <xdr:to>
      <xdr:col>11</xdr:col>
      <xdr:colOff>455324</xdr:colOff>
      <xdr:row>47</xdr:row>
      <xdr:rowOff>148703</xdr:rowOff>
    </xdr:to>
    <xdr:pic>
      <xdr:nvPicPr>
        <xdr:cNvPr id="81" name="รูปภาพ 80" descr="ตรา รพ..jpg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61</xdr:row>
      <xdr:rowOff>154782</xdr:rowOff>
    </xdr:from>
    <xdr:to>
      <xdr:col>6</xdr:col>
      <xdr:colOff>642921</xdr:colOff>
      <xdr:row>63</xdr:row>
      <xdr:rowOff>202407</xdr:rowOff>
    </xdr:to>
    <xdr:pic>
      <xdr:nvPicPr>
        <xdr:cNvPr id="27" name="รูปภาพ 26" descr="img20200424_09520531.jpg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83</xdr:row>
      <xdr:rowOff>154782</xdr:rowOff>
    </xdr:from>
    <xdr:to>
      <xdr:col>6</xdr:col>
      <xdr:colOff>642921</xdr:colOff>
      <xdr:row>85</xdr:row>
      <xdr:rowOff>202407</xdr:rowOff>
    </xdr:to>
    <xdr:pic>
      <xdr:nvPicPr>
        <xdr:cNvPr id="29" name="รูปภาพ 28" descr="img20200424_09520531.jpg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105</xdr:row>
      <xdr:rowOff>154782</xdr:rowOff>
    </xdr:from>
    <xdr:to>
      <xdr:col>6</xdr:col>
      <xdr:colOff>642921</xdr:colOff>
      <xdr:row>107</xdr:row>
      <xdr:rowOff>202407</xdr:rowOff>
    </xdr:to>
    <xdr:pic>
      <xdr:nvPicPr>
        <xdr:cNvPr id="31" name="รูปภาพ 30" descr="img20200424_09520531.jpg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127</xdr:row>
      <xdr:rowOff>154782</xdr:rowOff>
    </xdr:from>
    <xdr:to>
      <xdr:col>6</xdr:col>
      <xdr:colOff>642921</xdr:colOff>
      <xdr:row>129</xdr:row>
      <xdr:rowOff>202407</xdr:rowOff>
    </xdr:to>
    <xdr:pic>
      <xdr:nvPicPr>
        <xdr:cNvPr id="33" name="รูปภาพ 32" descr="img20200424_09520531.jpg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809608</xdr:colOff>
      <xdr:row>17</xdr:row>
      <xdr:rowOff>154782</xdr:rowOff>
    </xdr:from>
    <xdr:to>
      <xdr:col>6</xdr:col>
      <xdr:colOff>654827</xdr:colOff>
      <xdr:row>19</xdr:row>
      <xdr:rowOff>202407</xdr:rowOff>
    </xdr:to>
    <xdr:pic>
      <xdr:nvPicPr>
        <xdr:cNvPr id="34" name="รูปภาพ 33" descr="img20200424_09520531.jpg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67046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149</xdr:row>
      <xdr:rowOff>154782</xdr:rowOff>
    </xdr:from>
    <xdr:to>
      <xdr:col>6</xdr:col>
      <xdr:colOff>642921</xdr:colOff>
      <xdr:row>151</xdr:row>
      <xdr:rowOff>202407</xdr:rowOff>
    </xdr:to>
    <xdr:pic>
      <xdr:nvPicPr>
        <xdr:cNvPr id="36" name="รูปภาพ 35" descr="img20200424_09520531.jpg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193</xdr:row>
      <xdr:rowOff>154782</xdr:rowOff>
    </xdr:from>
    <xdr:to>
      <xdr:col>6</xdr:col>
      <xdr:colOff>642921</xdr:colOff>
      <xdr:row>195</xdr:row>
      <xdr:rowOff>202407</xdr:rowOff>
    </xdr:to>
    <xdr:pic>
      <xdr:nvPicPr>
        <xdr:cNvPr id="38" name="รูปภาพ 37" descr="img20200424_09520531.jpg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215</xdr:row>
      <xdr:rowOff>154782</xdr:rowOff>
    </xdr:from>
    <xdr:to>
      <xdr:col>6</xdr:col>
      <xdr:colOff>642921</xdr:colOff>
      <xdr:row>217</xdr:row>
      <xdr:rowOff>202407</xdr:rowOff>
    </xdr:to>
    <xdr:pic>
      <xdr:nvPicPr>
        <xdr:cNvPr id="40" name="รูปภาพ 39" descr="img20200424_09520531.jpg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237</xdr:row>
      <xdr:rowOff>154782</xdr:rowOff>
    </xdr:from>
    <xdr:to>
      <xdr:col>6</xdr:col>
      <xdr:colOff>642921</xdr:colOff>
      <xdr:row>239</xdr:row>
      <xdr:rowOff>202407</xdr:rowOff>
    </xdr:to>
    <xdr:pic>
      <xdr:nvPicPr>
        <xdr:cNvPr id="47" name="รูปภาพ 46" descr="img20200424_09520531.jpg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68022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259</xdr:row>
      <xdr:rowOff>154782</xdr:rowOff>
    </xdr:from>
    <xdr:to>
      <xdr:col>6</xdr:col>
      <xdr:colOff>642921</xdr:colOff>
      <xdr:row>261</xdr:row>
      <xdr:rowOff>202407</xdr:rowOff>
    </xdr:to>
    <xdr:pic>
      <xdr:nvPicPr>
        <xdr:cNvPr id="51" name="รูปภาพ 50" descr="img20200424_09520531.jpg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39</xdr:row>
      <xdr:rowOff>154782</xdr:rowOff>
    </xdr:from>
    <xdr:to>
      <xdr:col>6</xdr:col>
      <xdr:colOff>642921</xdr:colOff>
      <xdr:row>41</xdr:row>
      <xdr:rowOff>202407</xdr:rowOff>
    </xdr:to>
    <xdr:pic>
      <xdr:nvPicPr>
        <xdr:cNvPr id="52" name="รูปภาพ 51" descr="img20200424_09520531.jpg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61</xdr:row>
      <xdr:rowOff>154782</xdr:rowOff>
    </xdr:from>
    <xdr:to>
      <xdr:col>15</xdr:col>
      <xdr:colOff>631015</xdr:colOff>
      <xdr:row>63</xdr:row>
      <xdr:rowOff>202407</xdr:rowOff>
    </xdr:to>
    <xdr:pic>
      <xdr:nvPicPr>
        <xdr:cNvPr id="61" name="รูปภาพ 60" descr="img20200424_09520531.jpg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55661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88</xdr:row>
      <xdr:rowOff>59530</xdr:rowOff>
    </xdr:from>
    <xdr:to>
      <xdr:col>11</xdr:col>
      <xdr:colOff>455324</xdr:colOff>
      <xdr:row>91</xdr:row>
      <xdr:rowOff>148703</xdr:rowOff>
    </xdr:to>
    <xdr:pic>
      <xdr:nvPicPr>
        <xdr:cNvPr id="64" name="รูปภาพ 63" descr="ตรา รพ..jpg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6696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105</xdr:row>
      <xdr:rowOff>154782</xdr:rowOff>
    </xdr:from>
    <xdr:to>
      <xdr:col>15</xdr:col>
      <xdr:colOff>642921</xdr:colOff>
      <xdr:row>107</xdr:row>
      <xdr:rowOff>202407</xdr:rowOff>
    </xdr:to>
    <xdr:pic>
      <xdr:nvPicPr>
        <xdr:cNvPr id="67" name="รูปภาพ 66" descr="img20200424_09520531.jpg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8327232"/>
          <a:ext cx="1378744" cy="46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0</xdr:row>
      <xdr:rowOff>59530</xdr:rowOff>
    </xdr:from>
    <xdr:to>
      <xdr:col>11</xdr:col>
      <xdr:colOff>455324</xdr:colOff>
      <xdr:row>3</xdr:row>
      <xdr:rowOff>148703</xdr:rowOff>
    </xdr:to>
    <xdr:pic>
      <xdr:nvPicPr>
        <xdr:cNvPr id="75" name="รูปภาพ 74" descr="ตรา รพ..jpg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477440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17</xdr:row>
      <xdr:rowOff>154782</xdr:rowOff>
    </xdr:from>
    <xdr:to>
      <xdr:col>15</xdr:col>
      <xdr:colOff>642921</xdr:colOff>
      <xdr:row>19</xdr:row>
      <xdr:rowOff>202407</xdr:rowOff>
    </xdr:to>
    <xdr:pic>
      <xdr:nvPicPr>
        <xdr:cNvPr id="78" name="รูปภาพ 77" descr="img20200424_09520531.jpg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22</xdr:row>
      <xdr:rowOff>59530</xdr:rowOff>
    </xdr:from>
    <xdr:to>
      <xdr:col>11</xdr:col>
      <xdr:colOff>455324</xdr:colOff>
      <xdr:row>25</xdr:row>
      <xdr:rowOff>148703</xdr:rowOff>
    </xdr:to>
    <xdr:pic>
      <xdr:nvPicPr>
        <xdr:cNvPr id="80" name="รูปภาพ 79" descr="ตรา รพ..jpg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39</xdr:row>
      <xdr:rowOff>154782</xdr:rowOff>
    </xdr:from>
    <xdr:to>
      <xdr:col>15</xdr:col>
      <xdr:colOff>642921</xdr:colOff>
      <xdr:row>41</xdr:row>
      <xdr:rowOff>202407</xdr:rowOff>
    </xdr:to>
    <xdr:pic>
      <xdr:nvPicPr>
        <xdr:cNvPr id="82" name="รูปภาพ 81" descr="img20200424_09520531.jpg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110</xdr:row>
      <xdr:rowOff>59530</xdr:rowOff>
    </xdr:from>
    <xdr:to>
      <xdr:col>11</xdr:col>
      <xdr:colOff>455324</xdr:colOff>
      <xdr:row>113</xdr:row>
      <xdr:rowOff>148703</xdr:rowOff>
    </xdr:to>
    <xdr:pic>
      <xdr:nvPicPr>
        <xdr:cNvPr id="84" name="รูปภาพ 83" descr="ตรา รพ..jpg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17823"/>
        </a:xfrm>
        <a:prstGeom prst="rect">
          <a:avLst/>
        </a:prstGeom>
      </xdr:spPr>
    </xdr:pic>
    <xdr:clientData/>
  </xdr:twoCellAnchor>
  <xdr:oneCellAnchor>
    <xdr:from>
      <xdr:col>10</xdr:col>
      <xdr:colOff>23803</xdr:colOff>
      <xdr:row>132</xdr:row>
      <xdr:rowOff>59530</xdr:rowOff>
    </xdr:from>
    <xdr:ext cx="717271" cy="732111"/>
    <xdr:pic>
      <xdr:nvPicPr>
        <xdr:cNvPr id="86" name="รูปภาพ 54" descr="ตรา รพ..jpg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6696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12</xdr:col>
      <xdr:colOff>809609</xdr:colOff>
      <xdr:row>126</xdr:row>
      <xdr:rowOff>166688</xdr:rowOff>
    </xdr:from>
    <xdr:to>
      <xdr:col>15</xdr:col>
      <xdr:colOff>654828</xdr:colOff>
      <xdr:row>129</xdr:row>
      <xdr:rowOff>0</xdr:rowOff>
    </xdr:to>
    <xdr:pic>
      <xdr:nvPicPr>
        <xdr:cNvPr id="87" name="รูปภาพ 86" descr="img20200424_09520531.jpg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34609" y="27170063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149</xdr:row>
      <xdr:rowOff>154782</xdr:rowOff>
    </xdr:from>
    <xdr:to>
      <xdr:col>15</xdr:col>
      <xdr:colOff>642921</xdr:colOff>
      <xdr:row>151</xdr:row>
      <xdr:rowOff>202407</xdr:rowOff>
    </xdr:to>
    <xdr:pic>
      <xdr:nvPicPr>
        <xdr:cNvPr id="88" name="รูปภาพ 87" descr="img20200424_09520531.jpg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8327232"/>
          <a:ext cx="1378744" cy="466725"/>
        </a:xfrm>
        <a:prstGeom prst="rect">
          <a:avLst/>
        </a:prstGeom>
      </xdr:spPr>
    </xdr:pic>
    <xdr:clientData/>
  </xdr:twoCellAnchor>
  <xdr:oneCellAnchor>
    <xdr:from>
      <xdr:col>10</xdr:col>
      <xdr:colOff>23803</xdr:colOff>
      <xdr:row>154</xdr:row>
      <xdr:rowOff>59530</xdr:rowOff>
    </xdr:from>
    <xdr:ext cx="717271" cy="732111"/>
    <xdr:pic>
      <xdr:nvPicPr>
        <xdr:cNvPr id="89" name="รูปภาพ 54" descr="ตรา รพ..jpg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92797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12</xdr:col>
      <xdr:colOff>797702</xdr:colOff>
      <xdr:row>171</xdr:row>
      <xdr:rowOff>154782</xdr:rowOff>
    </xdr:from>
    <xdr:to>
      <xdr:col>15</xdr:col>
      <xdr:colOff>642921</xdr:colOff>
      <xdr:row>173</xdr:row>
      <xdr:rowOff>202407</xdr:rowOff>
    </xdr:to>
    <xdr:pic>
      <xdr:nvPicPr>
        <xdr:cNvPr id="90" name="รูปภาพ 89" descr="img20200424_09520531.jpg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12937332"/>
          <a:ext cx="1378744" cy="466725"/>
        </a:xfrm>
        <a:prstGeom prst="rect">
          <a:avLst/>
        </a:prstGeom>
      </xdr:spPr>
    </xdr:pic>
    <xdr:clientData/>
  </xdr:twoCellAnchor>
  <xdr:oneCellAnchor>
    <xdr:from>
      <xdr:col>10</xdr:col>
      <xdr:colOff>23803</xdr:colOff>
      <xdr:row>176</xdr:row>
      <xdr:rowOff>59530</xdr:rowOff>
    </xdr:from>
    <xdr:ext cx="717271" cy="732111"/>
    <xdr:pic>
      <xdr:nvPicPr>
        <xdr:cNvPr id="91" name="รูปภาพ 54" descr="ตรา รพ..jpg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38898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12</xdr:col>
      <xdr:colOff>797702</xdr:colOff>
      <xdr:row>193</xdr:row>
      <xdr:rowOff>154782</xdr:rowOff>
    </xdr:from>
    <xdr:to>
      <xdr:col>15</xdr:col>
      <xdr:colOff>642921</xdr:colOff>
      <xdr:row>195</xdr:row>
      <xdr:rowOff>202407</xdr:rowOff>
    </xdr:to>
    <xdr:pic>
      <xdr:nvPicPr>
        <xdr:cNvPr id="92" name="รูปภาพ 91" descr="img20200424_09520531.jpg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17547432"/>
          <a:ext cx="1378744" cy="46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66</xdr:row>
      <xdr:rowOff>59530</xdr:rowOff>
    </xdr:from>
    <xdr:to>
      <xdr:col>11</xdr:col>
      <xdr:colOff>455324</xdr:colOff>
      <xdr:row>69</xdr:row>
      <xdr:rowOff>148703</xdr:rowOff>
    </xdr:to>
    <xdr:pic>
      <xdr:nvPicPr>
        <xdr:cNvPr id="68" name="รูปภาพ 67" descr="ตรา รพ..jpg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2363390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83</xdr:row>
      <xdr:rowOff>154782</xdr:rowOff>
    </xdr:from>
    <xdr:to>
      <xdr:col>15</xdr:col>
      <xdr:colOff>642921</xdr:colOff>
      <xdr:row>85</xdr:row>
      <xdr:rowOff>202407</xdr:rowOff>
    </xdr:to>
    <xdr:pic>
      <xdr:nvPicPr>
        <xdr:cNvPr id="69" name="รูปภาพ 68" descr="img20200424_09520531.jpg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154</xdr:row>
      <xdr:rowOff>59530</xdr:rowOff>
    </xdr:from>
    <xdr:to>
      <xdr:col>2</xdr:col>
      <xdr:colOff>455324</xdr:colOff>
      <xdr:row>157</xdr:row>
      <xdr:rowOff>148703</xdr:rowOff>
    </xdr:to>
    <xdr:pic>
      <xdr:nvPicPr>
        <xdr:cNvPr id="55" name="รูปภาพ 54" descr="ตรา รพ..jpg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171</xdr:row>
      <xdr:rowOff>154782</xdr:rowOff>
    </xdr:from>
    <xdr:to>
      <xdr:col>6</xdr:col>
      <xdr:colOff>642921</xdr:colOff>
      <xdr:row>173</xdr:row>
      <xdr:rowOff>202407</xdr:rowOff>
    </xdr:to>
    <xdr:pic>
      <xdr:nvPicPr>
        <xdr:cNvPr id="59" name="รูปภาพ 58" descr="img20200424_09520531.jpg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198</xdr:row>
      <xdr:rowOff>59530</xdr:rowOff>
    </xdr:from>
    <xdr:to>
      <xdr:col>11</xdr:col>
      <xdr:colOff>455324</xdr:colOff>
      <xdr:row>201</xdr:row>
      <xdr:rowOff>148703</xdr:rowOff>
    </xdr:to>
    <xdr:pic>
      <xdr:nvPicPr>
        <xdr:cNvPr id="60" name="รูปภาพ 59" descr="ตรา รพ..jpg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215</xdr:row>
      <xdr:rowOff>154782</xdr:rowOff>
    </xdr:from>
    <xdr:to>
      <xdr:col>15</xdr:col>
      <xdr:colOff>642921</xdr:colOff>
      <xdr:row>217</xdr:row>
      <xdr:rowOff>202407</xdr:rowOff>
    </xdr:to>
    <xdr:pic>
      <xdr:nvPicPr>
        <xdr:cNvPr id="63" name="รูปภาพ 62" descr="img20200424_09520531.jpg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3717132"/>
          <a:ext cx="1378744" cy="466725"/>
        </a:xfrm>
        <a:prstGeom prst="rect">
          <a:avLst/>
        </a:prstGeom>
      </xdr:spPr>
    </xdr:pic>
    <xdr:clientData/>
  </xdr:twoCellAnchor>
  <xdr:oneCellAnchor>
    <xdr:from>
      <xdr:col>10</xdr:col>
      <xdr:colOff>23803</xdr:colOff>
      <xdr:row>242</xdr:row>
      <xdr:rowOff>59530</xdr:rowOff>
    </xdr:from>
    <xdr:ext cx="717271" cy="732111"/>
    <xdr:pic>
      <xdr:nvPicPr>
        <xdr:cNvPr id="53" name="รูปภาพ 54" descr="ตรา รพ..jpg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6696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12</xdr:col>
      <xdr:colOff>797702</xdr:colOff>
      <xdr:row>259</xdr:row>
      <xdr:rowOff>154782</xdr:rowOff>
    </xdr:from>
    <xdr:to>
      <xdr:col>15</xdr:col>
      <xdr:colOff>642921</xdr:colOff>
      <xdr:row>261</xdr:row>
      <xdr:rowOff>202407</xdr:rowOff>
    </xdr:to>
    <xdr:pic>
      <xdr:nvPicPr>
        <xdr:cNvPr id="58" name="รูปภาพ 57" descr="img20200424_09520531.jpg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8327232"/>
          <a:ext cx="1378744" cy="46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220</xdr:row>
      <xdr:rowOff>59530</xdr:rowOff>
    </xdr:from>
    <xdr:to>
      <xdr:col>11</xdr:col>
      <xdr:colOff>455324</xdr:colOff>
      <xdr:row>223</xdr:row>
      <xdr:rowOff>148703</xdr:rowOff>
    </xdr:to>
    <xdr:pic>
      <xdr:nvPicPr>
        <xdr:cNvPr id="71" name="รูปภาพ 70" descr="ตรา รพ..jpg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237</xdr:row>
      <xdr:rowOff>154782</xdr:rowOff>
    </xdr:from>
    <xdr:to>
      <xdr:col>15</xdr:col>
      <xdr:colOff>642921</xdr:colOff>
      <xdr:row>239</xdr:row>
      <xdr:rowOff>202407</xdr:rowOff>
    </xdr:to>
    <xdr:pic>
      <xdr:nvPicPr>
        <xdr:cNvPr id="72" name="รูปภาพ 71" descr="img20200424_09520531.jpg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3717132"/>
          <a:ext cx="1378744" cy="4667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23803</xdr:colOff>
      <xdr:row>0</xdr:row>
      <xdr:rowOff>59530</xdr:rowOff>
    </xdr:from>
    <xdr:ext cx="717271" cy="732111"/>
    <xdr:pic>
      <xdr:nvPicPr>
        <xdr:cNvPr id="21" name="รูปภาพ 54" descr="ตรา รพ..jpg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797702</xdr:colOff>
      <xdr:row>17</xdr:row>
      <xdr:rowOff>154782</xdr:rowOff>
    </xdr:from>
    <xdr:to>
      <xdr:col>6</xdr:col>
      <xdr:colOff>642921</xdr:colOff>
      <xdr:row>19</xdr:row>
      <xdr:rowOff>202407</xdr:rowOff>
    </xdr:to>
    <xdr:pic>
      <xdr:nvPicPr>
        <xdr:cNvPr id="22" name="รูปภาพ 21" descr="img20200424_09520531.jpg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798095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23803</xdr:colOff>
      <xdr:row>22</xdr:row>
      <xdr:rowOff>59530</xdr:rowOff>
    </xdr:from>
    <xdr:ext cx="717271" cy="732111"/>
    <xdr:pic>
      <xdr:nvPicPr>
        <xdr:cNvPr id="14" name="รูปภาพ 54" descr="ตรา รพ..jpg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2834878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797702</xdr:colOff>
      <xdr:row>39</xdr:row>
      <xdr:rowOff>154782</xdr:rowOff>
    </xdr:from>
    <xdr:to>
      <xdr:col>6</xdr:col>
      <xdr:colOff>642921</xdr:colOff>
      <xdr:row>41</xdr:row>
      <xdr:rowOff>202407</xdr:rowOff>
    </xdr:to>
    <xdr:pic>
      <xdr:nvPicPr>
        <xdr:cNvPr id="27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7372470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23803</xdr:colOff>
      <xdr:row>44</xdr:row>
      <xdr:rowOff>59530</xdr:rowOff>
    </xdr:from>
    <xdr:ext cx="717271" cy="732111"/>
    <xdr:pic>
      <xdr:nvPicPr>
        <xdr:cNvPr id="19" name="รูปภาพ 54" descr="ตรา รพ..jp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891903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61</xdr:row>
      <xdr:rowOff>154782</xdr:rowOff>
    </xdr:from>
    <xdr:ext cx="1178719" cy="476250"/>
    <xdr:pic>
      <xdr:nvPicPr>
        <xdr:cNvPr id="25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208734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66</xdr:row>
      <xdr:rowOff>59530</xdr:rowOff>
    </xdr:from>
    <xdr:ext cx="717271" cy="732111"/>
    <xdr:pic>
      <xdr:nvPicPr>
        <xdr:cNvPr id="26" name="รูปภาพ 54" descr="ตรา รพ..jpg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306365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83</xdr:row>
      <xdr:rowOff>154782</xdr:rowOff>
    </xdr:from>
    <xdr:ext cx="1178719" cy="476250"/>
    <xdr:pic>
      <xdr:nvPicPr>
        <xdr:cNvPr id="28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6802220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88</xdr:row>
      <xdr:rowOff>59530</xdr:rowOff>
    </xdr:from>
    <xdr:ext cx="717271" cy="732111"/>
    <xdr:pic>
      <xdr:nvPicPr>
        <xdr:cNvPr id="29" name="รูปภาพ 54" descr="ตรา รพ..jpg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777853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105</xdr:row>
      <xdr:rowOff>154782</xdr:rowOff>
    </xdr:from>
    <xdr:ext cx="1178719" cy="476250"/>
    <xdr:pic>
      <xdr:nvPicPr>
        <xdr:cNvPr id="30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151709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110</xdr:row>
      <xdr:rowOff>59530</xdr:rowOff>
    </xdr:from>
    <xdr:ext cx="717271" cy="732111"/>
    <xdr:pic>
      <xdr:nvPicPr>
        <xdr:cNvPr id="31" name="รูปภาพ 54" descr="ตรา รพ..jpg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24934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127</xdr:row>
      <xdr:rowOff>154782</xdr:rowOff>
    </xdr:from>
    <xdr:ext cx="1178719" cy="476250"/>
    <xdr:pic>
      <xdr:nvPicPr>
        <xdr:cNvPr id="32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6231970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132</xdr:row>
      <xdr:rowOff>59530</xdr:rowOff>
    </xdr:from>
    <xdr:ext cx="717271" cy="732111"/>
    <xdr:pic>
      <xdr:nvPicPr>
        <xdr:cNvPr id="33" name="รูปภาพ 54" descr="ตรา รพ..jpg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720828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149</xdr:row>
      <xdr:rowOff>154782</xdr:rowOff>
    </xdr:from>
    <xdr:ext cx="1178719" cy="476250"/>
    <xdr:pic>
      <xdr:nvPicPr>
        <xdr:cNvPr id="34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5094684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154</xdr:row>
      <xdr:rowOff>59530</xdr:rowOff>
    </xdr:from>
    <xdr:ext cx="717271" cy="732111"/>
    <xdr:pic>
      <xdr:nvPicPr>
        <xdr:cNvPr id="37" name="รูปภาพ 54" descr="ตรา รพ..jpg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663803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171</xdr:row>
      <xdr:rowOff>154782</xdr:rowOff>
    </xdr:from>
    <xdr:ext cx="1178719" cy="476250"/>
    <xdr:pic>
      <xdr:nvPicPr>
        <xdr:cNvPr id="38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6037659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176</xdr:row>
      <xdr:rowOff>59530</xdr:rowOff>
    </xdr:from>
    <xdr:ext cx="717271" cy="732111"/>
    <xdr:pic>
      <xdr:nvPicPr>
        <xdr:cNvPr id="41" name="รูปภาพ 54" descr="ตรา รพ..jpg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6606778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193</xdr:row>
      <xdr:rowOff>154782</xdr:rowOff>
    </xdr:from>
    <xdr:ext cx="1178719" cy="476250"/>
    <xdr:pic>
      <xdr:nvPicPr>
        <xdr:cNvPr id="42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6980634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198</xdr:row>
      <xdr:rowOff>59530</xdr:rowOff>
    </xdr:from>
    <xdr:ext cx="717271" cy="732111"/>
    <xdr:pic>
      <xdr:nvPicPr>
        <xdr:cNvPr id="43" name="รูปภาพ 54" descr="ตรา รพ..jpg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24934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215</xdr:row>
      <xdr:rowOff>154782</xdr:rowOff>
    </xdr:from>
    <xdr:ext cx="1178719" cy="476250"/>
    <xdr:pic>
      <xdr:nvPicPr>
        <xdr:cNvPr id="36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6037659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220</xdr:row>
      <xdr:rowOff>59530</xdr:rowOff>
    </xdr:from>
    <xdr:ext cx="717271" cy="732111"/>
    <xdr:pic>
      <xdr:nvPicPr>
        <xdr:cNvPr id="39" name="รูปภาพ 54" descr="ตรา รพ..jpg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613529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237</xdr:row>
      <xdr:rowOff>154782</xdr:rowOff>
    </xdr:from>
    <xdr:ext cx="1178719" cy="476250"/>
    <xdr:pic>
      <xdr:nvPicPr>
        <xdr:cNvPr id="40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65091470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242</xdr:row>
      <xdr:rowOff>59530</xdr:rowOff>
    </xdr:from>
    <xdr:ext cx="717271" cy="732111"/>
    <xdr:pic>
      <xdr:nvPicPr>
        <xdr:cNvPr id="45" name="รูปภาพ 54" descr="ตรา รพ..jpg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613529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259</xdr:row>
      <xdr:rowOff>154782</xdr:rowOff>
    </xdr:from>
    <xdr:ext cx="1178719" cy="476250"/>
    <xdr:pic>
      <xdr:nvPicPr>
        <xdr:cNvPr id="46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65091470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264</xdr:row>
      <xdr:rowOff>59530</xdr:rowOff>
    </xdr:from>
    <xdr:ext cx="717271" cy="732111"/>
    <xdr:pic>
      <xdr:nvPicPr>
        <xdr:cNvPr id="47" name="รูปภาพ 54" descr="ตรา รพ..jpg"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7078265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281</xdr:row>
      <xdr:rowOff>154782</xdr:rowOff>
    </xdr:from>
    <xdr:ext cx="1178719" cy="476250"/>
    <xdr:pic>
      <xdr:nvPicPr>
        <xdr:cNvPr id="48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74521220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286</xdr:row>
      <xdr:rowOff>59530</xdr:rowOff>
    </xdr:from>
    <xdr:ext cx="717271" cy="732111"/>
    <xdr:pic>
      <xdr:nvPicPr>
        <xdr:cNvPr id="49" name="รูปภาพ 54" descr="ตรา รพ..jpg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7549753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303</xdr:row>
      <xdr:rowOff>154782</xdr:rowOff>
    </xdr:from>
    <xdr:ext cx="1178719" cy="476250"/>
    <xdr:pic>
      <xdr:nvPicPr>
        <xdr:cNvPr id="50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7923609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308</xdr:row>
      <xdr:rowOff>59530</xdr:rowOff>
    </xdr:from>
    <xdr:ext cx="717271" cy="732111"/>
    <xdr:pic>
      <xdr:nvPicPr>
        <xdr:cNvPr id="51" name="รูปภาพ 54" descr="ตรา รพ..jpg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802124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325</xdr:row>
      <xdr:rowOff>154782</xdr:rowOff>
    </xdr:from>
    <xdr:ext cx="1178719" cy="476250"/>
    <xdr:pic>
      <xdr:nvPicPr>
        <xdr:cNvPr id="52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83950970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23803</xdr:colOff>
      <xdr:row>0</xdr:row>
      <xdr:rowOff>59530</xdr:rowOff>
    </xdr:from>
    <xdr:ext cx="717271" cy="732111"/>
    <xdr:pic>
      <xdr:nvPicPr>
        <xdr:cNvPr id="55" name="รูปภาพ 54" descr="ตรา รพ..jpg">
          <a:extLst>
            <a:ext uri="{FF2B5EF4-FFF2-40B4-BE49-F238E27FC236}">
              <a16:creationId xmlns:a16="http://schemas.microsoft.com/office/drawing/2014/main" id="{00000000-0008-0000-1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75497530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797702</xdr:colOff>
      <xdr:row>17</xdr:row>
      <xdr:rowOff>154782</xdr:rowOff>
    </xdr:from>
    <xdr:ext cx="1178719" cy="476250"/>
    <xdr:pic>
      <xdr:nvPicPr>
        <xdr:cNvPr id="56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79236095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23803</xdr:colOff>
      <xdr:row>22</xdr:row>
      <xdr:rowOff>59530</xdr:rowOff>
    </xdr:from>
    <xdr:ext cx="717271" cy="732111"/>
    <xdr:pic>
      <xdr:nvPicPr>
        <xdr:cNvPr id="57" name="รูปภาพ 56" descr="ตรา รพ..jpg">
          <a:extLst>
            <a:ext uri="{FF2B5EF4-FFF2-40B4-BE49-F238E27FC236}">
              <a16:creationId xmlns:a16="http://schemas.microsoft.com/office/drawing/2014/main" id="{00000000-0008-0000-1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59530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797702</xdr:colOff>
      <xdr:row>39</xdr:row>
      <xdr:rowOff>154782</xdr:rowOff>
    </xdr:from>
    <xdr:ext cx="1178719" cy="476250"/>
    <xdr:pic>
      <xdr:nvPicPr>
        <xdr:cNvPr id="58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798095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23803</xdr:colOff>
      <xdr:row>44</xdr:row>
      <xdr:rowOff>59530</xdr:rowOff>
    </xdr:from>
    <xdr:ext cx="717271" cy="732111"/>
    <xdr:pic>
      <xdr:nvPicPr>
        <xdr:cNvPr id="59" name="รูปภาพ 58" descr="ตรา รพ..jpg">
          <a:extLst>
            <a:ext uri="{FF2B5EF4-FFF2-40B4-BE49-F238E27FC236}">
              <a16:creationId xmlns:a16="http://schemas.microsoft.com/office/drawing/2014/main" id="{00000000-0008-0000-1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59530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797702</xdr:colOff>
      <xdr:row>61</xdr:row>
      <xdr:rowOff>154782</xdr:rowOff>
    </xdr:from>
    <xdr:ext cx="1178719" cy="476250"/>
    <xdr:pic>
      <xdr:nvPicPr>
        <xdr:cNvPr id="60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798095"/>
          <a:ext cx="1178719" cy="4762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23803</xdr:colOff>
      <xdr:row>22</xdr:row>
      <xdr:rowOff>59530</xdr:rowOff>
    </xdr:from>
    <xdr:ext cx="681552" cy="732111"/>
    <xdr:pic>
      <xdr:nvPicPr>
        <xdr:cNvPr id="9" name="รูปภาพ 19" descr="ตรา รพ..jpg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797702</xdr:colOff>
      <xdr:row>39</xdr:row>
      <xdr:rowOff>154782</xdr:rowOff>
    </xdr:from>
    <xdr:to>
      <xdr:col>6</xdr:col>
      <xdr:colOff>642921</xdr:colOff>
      <xdr:row>41</xdr:row>
      <xdr:rowOff>202407</xdr:rowOff>
    </xdr:to>
    <xdr:pic>
      <xdr:nvPicPr>
        <xdr:cNvPr id="4" name="รูปภาพ 3" descr="img20200424_09520531.jpg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798095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23803</xdr:colOff>
      <xdr:row>0</xdr:row>
      <xdr:rowOff>59530</xdr:rowOff>
    </xdr:from>
    <xdr:ext cx="681552" cy="732111"/>
    <xdr:pic>
      <xdr:nvPicPr>
        <xdr:cNvPr id="12" name="รูปภาพ 19" descr="ตรา รพ..jpg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774405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797702</xdr:colOff>
      <xdr:row>17</xdr:row>
      <xdr:rowOff>154782</xdr:rowOff>
    </xdr:from>
    <xdr:to>
      <xdr:col>6</xdr:col>
      <xdr:colOff>642921</xdr:colOff>
      <xdr:row>19</xdr:row>
      <xdr:rowOff>202407</xdr:rowOff>
    </xdr:to>
    <xdr:pic>
      <xdr:nvPicPr>
        <xdr:cNvPr id="13" name="รูปภาพ 12" descr="img20200424_09520531.jpg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8512970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23803</xdr:colOff>
      <xdr:row>44</xdr:row>
      <xdr:rowOff>59530</xdr:rowOff>
    </xdr:from>
    <xdr:ext cx="681552" cy="732111"/>
    <xdr:pic>
      <xdr:nvPicPr>
        <xdr:cNvPr id="6" name="รูปภาพ 19" descr="ตรา รพ..jpg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77440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61</xdr:row>
      <xdr:rowOff>154782</xdr:rowOff>
    </xdr:from>
    <xdr:ext cx="1381125" cy="476250"/>
    <xdr:pic>
      <xdr:nvPicPr>
        <xdr:cNvPr id="7" name="รูปภาพ 6" descr="img20200424_09520531.jpg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851297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66</xdr:row>
      <xdr:rowOff>59530</xdr:rowOff>
    </xdr:from>
    <xdr:ext cx="681552" cy="732111"/>
    <xdr:pic>
      <xdr:nvPicPr>
        <xdr:cNvPr id="8" name="รูปภาพ 19" descr="ตรา รพ..jpg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948928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83</xdr:row>
      <xdr:rowOff>154782</xdr:rowOff>
    </xdr:from>
    <xdr:ext cx="1381125" cy="476250"/>
    <xdr:pic>
      <xdr:nvPicPr>
        <xdr:cNvPr id="10" name="รูปภาพ 9" descr="img20200424_09520531.jpg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1322784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88</xdr:row>
      <xdr:rowOff>59530</xdr:rowOff>
    </xdr:from>
    <xdr:ext cx="681552" cy="732111"/>
    <xdr:pic>
      <xdr:nvPicPr>
        <xdr:cNvPr id="11" name="รูปภาพ 19" descr="ตรา รพ..jpg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42041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105</xdr:row>
      <xdr:rowOff>154782</xdr:rowOff>
    </xdr:from>
    <xdr:ext cx="1381125" cy="476250"/>
    <xdr:pic>
      <xdr:nvPicPr>
        <xdr:cNvPr id="14" name="รูปภาพ 13" descr="img20200424_09520531.jpg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179427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132</xdr:row>
      <xdr:rowOff>59530</xdr:rowOff>
    </xdr:from>
    <xdr:ext cx="681552" cy="732111"/>
    <xdr:pic>
      <xdr:nvPicPr>
        <xdr:cNvPr id="15" name="รูปภาพ 19" descr="ตรา รพ..jpg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89190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149</xdr:row>
      <xdr:rowOff>154782</xdr:rowOff>
    </xdr:from>
    <xdr:ext cx="1381125" cy="476250"/>
    <xdr:pic>
      <xdr:nvPicPr>
        <xdr:cNvPr id="16" name="รูปภาพ 15" descr="img20200424_09520531.jpg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265759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154</xdr:row>
      <xdr:rowOff>83342</xdr:rowOff>
    </xdr:from>
    <xdr:ext cx="681552" cy="732111"/>
    <xdr:pic>
      <xdr:nvPicPr>
        <xdr:cNvPr id="17" name="รูปภาพ 19" descr="ตรา รพ..jpg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3087467"/>
          <a:ext cx="681552" cy="732111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110</xdr:row>
      <xdr:rowOff>59530</xdr:rowOff>
    </xdr:from>
    <xdr:ext cx="681552" cy="732111"/>
    <xdr:pic>
      <xdr:nvPicPr>
        <xdr:cNvPr id="19" name="รูปภาพ 19" descr="ตรา รพ..jpg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89190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127</xdr:row>
      <xdr:rowOff>154782</xdr:rowOff>
    </xdr:from>
    <xdr:ext cx="1381125" cy="476250"/>
    <xdr:pic>
      <xdr:nvPicPr>
        <xdr:cNvPr id="20" name="รูปภาพ 13" descr="img20200424_09520531.jpg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2657595"/>
          <a:ext cx="1381125" cy="476250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171</xdr:row>
      <xdr:rowOff>154782</xdr:rowOff>
    </xdr:from>
    <xdr:ext cx="1381125" cy="476250"/>
    <xdr:pic>
      <xdr:nvPicPr>
        <xdr:cNvPr id="22" name="รูปภาพ 17" descr="img20200424_09520531.jpg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176</xdr:row>
      <xdr:rowOff>59530</xdr:rowOff>
    </xdr:from>
    <xdr:ext cx="681552" cy="732111"/>
    <xdr:pic>
      <xdr:nvPicPr>
        <xdr:cNvPr id="23" name="รูปภาพ 19" descr="ตรา รพ..jpg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77785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193</xdr:row>
      <xdr:rowOff>154782</xdr:rowOff>
    </xdr:from>
    <xdr:ext cx="1381125" cy="476250"/>
    <xdr:pic>
      <xdr:nvPicPr>
        <xdr:cNvPr id="24" name="รูปภาพ 17" descr="img20200424_09520531.jpg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151709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198</xdr:row>
      <xdr:rowOff>59530</xdr:rowOff>
    </xdr:from>
    <xdr:ext cx="681552" cy="732111"/>
    <xdr:pic>
      <xdr:nvPicPr>
        <xdr:cNvPr id="21" name="รูปภาพ 19" descr="ตรา รพ..jpg">
          <a:extLst>
            <a:ext uri="{FF2B5EF4-FFF2-40B4-BE49-F238E27FC236}">
              <a16:creationId xmlns:a16="http://schemas.microsoft.com/office/drawing/2014/main" id="{53C8DC40-F338-4DF2-BBC7-10B73F333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77785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215</xdr:row>
      <xdr:rowOff>154782</xdr:rowOff>
    </xdr:from>
    <xdr:ext cx="1381125" cy="476250"/>
    <xdr:pic>
      <xdr:nvPicPr>
        <xdr:cNvPr id="25" name="รูปภาพ 17" descr="img20200424_09520531.jpg">
          <a:extLst>
            <a:ext uri="{FF2B5EF4-FFF2-40B4-BE49-F238E27FC236}">
              <a16:creationId xmlns:a16="http://schemas.microsoft.com/office/drawing/2014/main" id="{9B6800E8-2EB3-45F9-9A80-EFD8BF4BB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151709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220</xdr:row>
      <xdr:rowOff>59530</xdr:rowOff>
    </xdr:from>
    <xdr:ext cx="681552" cy="732111"/>
    <xdr:pic>
      <xdr:nvPicPr>
        <xdr:cNvPr id="26" name="รูปภาพ 19" descr="ตรา รพ..jpg">
          <a:extLst>
            <a:ext uri="{FF2B5EF4-FFF2-40B4-BE49-F238E27FC236}">
              <a16:creationId xmlns:a16="http://schemas.microsoft.com/office/drawing/2014/main" id="{4176D4D3-E852-42AC-965A-03E88A77A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249340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237</xdr:row>
      <xdr:rowOff>154782</xdr:rowOff>
    </xdr:from>
    <xdr:ext cx="1381125" cy="476250"/>
    <xdr:pic>
      <xdr:nvPicPr>
        <xdr:cNvPr id="27" name="รูปภาพ 17" descr="img20200424_09520531.jpg">
          <a:extLst>
            <a:ext uri="{FF2B5EF4-FFF2-40B4-BE49-F238E27FC236}">
              <a16:creationId xmlns:a16="http://schemas.microsoft.com/office/drawing/2014/main" id="{BE68C881-B726-4EFD-B28F-B4F2D12FD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623197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242</xdr:row>
      <xdr:rowOff>59530</xdr:rowOff>
    </xdr:from>
    <xdr:ext cx="681552" cy="732111"/>
    <xdr:pic>
      <xdr:nvPicPr>
        <xdr:cNvPr id="28" name="รูปภาพ 19" descr="ตรา รพ..jpg">
          <a:extLst>
            <a:ext uri="{FF2B5EF4-FFF2-40B4-BE49-F238E27FC236}">
              <a16:creationId xmlns:a16="http://schemas.microsoft.com/office/drawing/2014/main" id="{B5D53B94-E736-49AF-BEF3-20BD4BE1F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720828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259</xdr:row>
      <xdr:rowOff>154782</xdr:rowOff>
    </xdr:from>
    <xdr:ext cx="1381125" cy="476250"/>
    <xdr:pic>
      <xdr:nvPicPr>
        <xdr:cNvPr id="29" name="รูปภาพ 17" descr="img20200424_09520531.jpg">
          <a:extLst>
            <a:ext uri="{FF2B5EF4-FFF2-40B4-BE49-F238E27FC236}">
              <a16:creationId xmlns:a16="http://schemas.microsoft.com/office/drawing/2014/main" id="{FFD2704F-3CEB-4E76-936F-C93371C95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50946845"/>
          <a:ext cx="1381125" cy="4762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48;&#3591;&#3636;&#3609;&#3648;&#3604;&#3639;&#3629;&#3609;&#3585;&#3619;&#3640;&#3591;&#3652;&#3607;&#3618;_&#3614;&#3618;.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ข้าราชการ"/>
      <sheetName val="ลจ.ประจำ"/>
      <sheetName val="พนักงาน"/>
      <sheetName val="พกส."/>
      <sheetName val="รายเดือน"/>
      <sheetName val="รายวัน"/>
      <sheetName val="ช่วย"/>
      <sheetName val="สรุป"/>
      <sheetName val="สรุป1"/>
    </sheetNames>
    <sheetDataSet>
      <sheetData sheetId="0">
        <row r="2">
          <cell r="A2" t="str">
            <v>ประจำเดือนพฤศจิกายน  2568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W84"/>
  <sheetViews>
    <sheetView zoomScale="90" zoomScaleNormal="9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S9" sqref="S9"/>
    </sheetView>
  </sheetViews>
  <sheetFormatPr defaultColWidth="9" defaultRowHeight="21" x14ac:dyDescent="0.45"/>
  <cols>
    <col min="1" max="1" width="3" style="9" customWidth="1"/>
    <col min="2" max="2" width="11.875" style="3" customWidth="1"/>
    <col min="3" max="3" width="12.375" style="3" customWidth="1"/>
    <col min="4" max="4" width="8.125" style="3" customWidth="1"/>
    <col min="5" max="6" width="4.625" style="3" customWidth="1"/>
    <col min="7" max="7" width="8.625" style="3" customWidth="1"/>
    <col min="8" max="9" width="8.625" style="34" customWidth="1"/>
    <col min="10" max="10" width="8.625" style="61" customWidth="1"/>
    <col min="11" max="11" width="8.625" style="50" customWidth="1"/>
    <col min="12" max="13" width="4.625" style="34" customWidth="1"/>
    <col min="14" max="15" width="4.125" style="47" customWidth="1"/>
    <col min="16" max="16" width="6.625" style="34" customWidth="1"/>
    <col min="17" max="17" width="6.5" style="34" bestFit="1" customWidth="1"/>
    <col min="18" max="18" width="6.625" style="34" customWidth="1"/>
    <col min="19" max="19" width="8.125" style="34" customWidth="1"/>
    <col min="20" max="21" width="7.625" style="34" customWidth="1"/>
    <col min="22" max="22" width="11.75" style="3" customWidth="1"/>
    <col min="23" max="23" width="10.875" style="3" bestFit="1" customWidth="1"/>
    <col min="24" max="16384" width="9" style="3"/>
  </cols>
  <sheetData>
    <row r="1" spans="1:22" ht="23.25" x14ac:dyDescent="0.5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</row>
    <row r="2" spans="1:22" ht="23.25" x14ac:dyDescent="0.5">
      <c r="A2" s="263" t="s">
        <v>629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</row>
    <row r="3" spans="1:22" x14ac:dyDescent="0.45">
      <c r="A3" s="254" t="s">
        <v>8</v>
      </c>
      <c r="B3" s="257" t="s">
        <v>1</v>
      </c>
      <c r="C3" s="258"/>
      <c r="D3" s="252" t="s">
        <v>9</v>
      </c>
      <c r="E3" s="252"/>
      <c r="F3" s="252"/>
      <c r="G3" s="252"/>
      <c r="H3" s="252"/>
      <c r="I3" s="252"/>
      <c r="J3" s="252"/>
      <c r="K3" s="252"/>
      <c r="L3" s="252"/>
      <c r="M3" s="253"/>
      <c r="N3" s="267" t="s">
        <v>10</v>
      </c>
      <c r="O3" s="252"/>
      <c r="P3" s="252"/>
      <c r="Q3" s="252"/>
      <c r="R3" s="252"/>
      <c r="S3" s="252"/>
      <c r="T3" s="252"/>
      <c r="U3" s="252"/>
      <c r="V3" s="252"/>
    </row>
    <row r="4" spans="1:22" ht="21" customHeight="1" x14ac:dyDescent="0.45">
      <c r="A4" s="255"/>
      <c r="B4" s="259"/>
      <c r="C4" s="260"/>
      <c r="D4" s="254" t="s">
        <v>2</v>
      </c>
      <c r="E4" s="283" t="s">
        <v>3</v>
      </c>
      <c r="F4" s="283" t="s">
        <v>4</v>
      </c>
      <c r="G4" s="280" t="s">
        <v>170</v>
      </c>
      <c r="H4" s="248" t="s">
        <v>561</v>
      </c>
      <c r="I4" s="248" t="s">
        <v>630</v>
      </c>
      <c r="J4" s="268" t="s">
        <v>631</v>
      </c>
      <c r="K4" s="277" t="s">
        <v>632</v>
      </c>
      <c r="L4" s="271" t="s">
        <v>6</v>
      </c>
      <c r="M4" s="274" t="s">
        <v>7</v>
      </c>
      <c r="N4" s="266" t="s">
        <v>52</v>
      </c>
      <c r="O4" s="264" t="s">
        <v>53</v>
      </c>
      <c r="P4" s="265" t="s">
        <v>377</v>
      </c>
      <c r="Q4" s="265" t="s">
        <v>214</v>
      </c>
      <c r="R4" s="265" t="s">
        <v>55</v>
      </c>
      <c r="S4" s="265" t="s">
        <v>137</v>
      </c>
      <c r="T4" s="265" t="s">
        <v>56</v>
      </c>
      <c r="U4" s="265" t="s">
        <v>57</v>
      </c>
      <c r="V4" s="264" t="s">
        <v>59</v>
      </c>
    </row>
    <row r="5" spans="1:22" ht="21" customHeight="1" x14ac:dyDescent="0.45">
      <c r="A5" s="255"/>
      <c r="B5" s="259"/>
      <c r="C5" s="260"/>
      <c r="D5" s="255"/>
      <c r="E5" s="281"/>
      <c r="F5" s="281"/>
      <c r="G5" s="281"/>
      <c r="H5" s="249"/>
      <c r="I5" s="249"/>
      <c r="J5" s="269"/>
      <c r="K5" s="272"/>
      <c r="L5" s="272"/>
      <c r="M5" s="275"/>
      <c r="N5" s="266"/>
      <c r="O5" s="264"/>
      <c r="P5" s="265"/>
      <c r="Q5" s="265"/>
      <c r="R5" s="265"/>
      <c r="S5" s="265"/>
      <c r="T5" s="265"/>
      <c r="U5" s="265"/>
      <c r="V5" s="264"/>
    </row>
    <row r="6" spans="1:22" ht="21" customHeight="1" x14ac:dyDescent="0.45">
      <c r="A6" s="255"/>
      <c r="B6" s="259"/>
      <c r="C6" s="260"/>
      <c r="D6" s="255"/>
      <c r="E6" s="281"/>
      <c r="F6" s="281"/>
      <c r="G6" s="281"/>
      <c r="H6" s="249"/>
      <c r="I6" s="249"/>
      <c r="J6" s="269"/>
      <c r="K6" s="272"/>
      <c r="L6" s="272"/>
      <c r="M6" s="275"/>
      <c r="N6" s="266"/>
      <c r="O6" s="264"/>
      <c r="P6" s="265"/>
      <c r="Q6" s="265"/>
      <c r="R6" s="265"/>
      <c r="S6" s="265"/>
      <c r="T6" s="265"/>
      <c r="U6" s="265"/>
      <c r="V6" s="264"/>
    </row>
    <row r="7" spans="1:22" ht="21" customHeight="1" x14ac:dyDescent="0.45">
      <c r="A7" s="256"/>
      <c r="B7" s="261"/>
      <c r="C7" s="262"/>
      <c r="D7" s="256"/>
      <c r="E7" s="282"/>
      <c r="F7" s="282"/>
      <c r="G7" s="282"/>
      <c r="H7" s="250"/>
      <c r="I7" s="250"/>
      <c r="J7" s="270"/>
      <c r="K7" s="273"/>
      <c r="L7" s="273"/>
      <c r="M7" s="276"/>
      <c r="N7" s="266"/>
      <c r="O7" s="264"/>
      <c r="P7" s="265"/>
      <c r="Q7" s="265"/>
      <c r="R7" s="265"/>
      <c r="S7" s="265"/>
      <c r="T7" s="265"/>
      <c r="U7" s="265"/>
      <c r="V7" s="264"/>
    </row>
    <row r="8" spans="1:22" ht="21" customHeight="1" x14ac:dyDescent="0.45">
      <c r="A8" s="11">
        <v>1</v>
      </c>
      <c r="B8" s="5" t="s">
        <v>597</v>
      </c>
      <c r="C8" s="129" t="s">
        <v>598</v>
      </c>
      <c r="D8" s="7" t="s">
        <v>46</v>
      </c>
      <c r="E8" s="57"/>
      <c r="F8" s="41"/>
      <c r="G8" s="29">
        <v>200</v>
      </c>
      <c r="H8" s="29"/>
      <c r="I8" s="29"/>
      <c r="J8" s="12"/>
      <c r="K8" s="29">
        <v>20</v>
      </c>
      <c r="L8" s="27"/>
      <c r="M8" s="56"/>
      <c r="N8" s="196"/>
      <c r="O8" s="130"/>
      <c r="P8" s="27"/>
      <c r="Q8" s="27"/>
      <c r="R8" s="27"/>
      <c r="S8" s="27">
        <v>10</v>
      </c>
      <c r="T8" s="29"/>
      <c r="U8" s="29"/>
      <c r="V8" s="12">
        <f>E8+F8+G8+H8+I8+J8+K8+L8+M8-N8-O8-P8-Q8-R8-S8-T8-U8</f>
        <v>210</v>
      </c>
    </row>
    <row r="9" spans="1:22" ht="21" customHeight="1" x14ac:dyDescent="0.45">
      <c r="A9" s="11">
        <v>2</v>
      </c>
      <c r="B9" s="10" t="s">
        <v>211</v>
      </c>
      <c r="C9" s="39" t="s">
        <v>212</v>
      </c>
      <c r="D9" s="8" t="s">
        <v>47</v>
      </c>
      <c r="E9" s="57"/>
      <c r="F9" s="46"/>
      <c r="G9" s="29"/>
      <c r="H9" s="29"/>
      <c r="I9" s="29"/>
      <c r="J9" s="12"/>
      <c r="K9" s="29"/>
      <c r="L9" s="27"/>
      <c r="M9" s="56"/>
      <c r="N9" s="197"/>
      <c r="O9" s="45"/>
      <c r="P9" s="27"/>
      <c r="Q9" s="29"/>
      <c r="R9" s="27"/>
      <c r="S9" s="27"/>
      <c r="T9" s="29"/>
      <c r="U9" s="29"/>
      <c r="V9" s="12">
        <f t="shared" ref="V9:V22" si="0">E9+F9+G9+H9+I9+J9+K9+L9+M9-N9-O9-P9-Q9-R9-S9-T9-U9</f>
        <v>0</v>
      </c>
    </row>
    <row r="10" spans="1:22" ht="21" customHeight="1" x14ac:dyDescent="0.45">
      <c r="A10" s="11">
        <v>3</v>
      </c>
      <c r="B10" s="5" t="s">
        <v>317</v>
      </c>
      <c r="C10" s="129" t="s">
        <v>318</v>
      </c>
      <c r="D10" s="131" t="s">
        <v>73</v>
      </c>
      <c r="E10" s="57"/>
      <c r="F10" s="41"/>
      <c r="G10" s="26"/>
      <c r="H10" s="27"/>
      <c r="I10" s="29"/>
      <c r="J10" s="12"/>
      <c r="K10" s="29"/>
      <c r="L10" s="27"/>
      <c r="M10" s="56"/>
      <c r="N10" s="196"/>
      <c r="O10" s="130"/>
      <c r="P10" s="27"/>
      <c r="Q10" s="27"/>
      <c r="R10" s="27"/>
      <c r="S10" s="27"/>
      <c r="T10" s="27"/>
      <c r="U10" s="27"/>
      <c r="V10" s="12">
        <f t="shared" si="0"/>
        <v>0</v>
      </c>
    </row>
    <row r="11" spans="1:22" ht="21" customHeight="1" x14ac:dyDescent="0.45">
      <c r="A11" s="11">
        <v>4</v>
      </c>
      <c r="B11" s="5" t="s">
        <v>389</v>
      </c>
      <c r="C11" s="129" t="s">
        <v>142</v>
      </c>
      <c r="D11" s="7" t="s">
        <v>49</v>
      </c>
      <c r="E11" s="57"/>
      <c r="F11" s="40"/>
      <c r="G11" s="26"/>
      <c r="H11" s="27"/>
      <c r="I11" s="29"/>
      <c r="J11" s="12"/>
      <c r="K11" s="29"/>
      <c r="L11" s="27"/>
      <c r="M11" s="56"/>
      <c r="N11" s="196"/>
      <c r="O11" s="130"/>
      <c r="P11" s="27"/>
      <c r="Q11" s="27"/>
      <c r="R11" s="27"/>
      <c r="S11" s="27"/>
      <c r="T11" s="29"/>
      <c r="U11" s="29"/>
      <c r="V11" s="12">
        <f t="shared" si="0"/>
        <v>0</v>
      </c>
    </row>
    <row r="12" spans="1:22" ht="21" customHeight="1" x14ac:dyDescent="0.45">
      <c r="A12" s="11">
        <v>5</v>
      </c>
      <c r="B12" s="5" t="s">
        <v>19</v>
      </c>
      <c r="C12" s="5" t="s">
        <v>143</v>
      </c>
      <c r="D12" s="8" t="s">
        <v>49</v>
      </c>
      <c r="E12" s="57"/>
      <c r="F12" s="40"/>
      <c r="G12" s="26"/>
      <c r="H12" s="27"/>
      <c r="I12" s="29"/>
      <c r="J12" s="12"/>
      <c r="K12" s="29"/>
      <c r="L12" s="27"/>
      <c r="M12" s="56"/>
      <c r="N12" s="196"/>
      <c r="O12" s="130"/>
      <c r="P12" s="27"/>
      <c r="Q12" s="27"/>
      <c r="R12" s="27"/>
      <c r="S12" s="27"/>
      <c r="T12" s="29"/>
      <c r="U12" s="29"/>
      <c r="V12" s="12">
        <f t="shared" si="0"/>
        <v>0</v>
      </c>
    </row>
    <row r="13" spans="1:22" ht="21" customHeight="1" x14ac:dyDescent="0.45">
      <c r="A13" s="11">
        <v>6</v>
      </c>
      <c r="B13" s="36" t="s">
        <v>223</v>
      </c>
      <c r="C13" s="43" t="s">
        <v>224</v>
      </c>
      <c r="D13" s="8" t="s">
        <v>48</v>
      </c>
      <c r="E13" s="57"/>
      <c r="F13" s="46"/>
      <c r="G13" s="26"/>
      <c r="H13" s="27"/>
      <c r="I13" s="29"/>
      <c r="J13" s="12"/>
      <c r="K13" s="29"/>
      <c r="L13" s="27"/>
      <c r="M13" s="56"/>
      <c r="N13" s="54"/>
      <c r="O13" s="45"/>
      <c r="P13" s="27"/>
      <c r="Q13" s="27"/>
      <c r="R13" s="27"/>
      <c r="S13" s="27"/>
      <c r="T13" s="27"/>
      <c r="U13" s="27"/>
      <c r="V13" s="12">
        <f t="shared" si="0"/>
        <v>0</v>
      </c>
    </row>
    <row r="14" spans="1:22" ht="21" customHeight="1" x14ac:dyDescent="0.45">
      <c r="A14" s="11">
        <v>7</v>
      </c>
      <c r="B14" s="10" t="s">
        <v>265</v>
      </c>
      <c r="C14" s="39" t="s">
        <v>260</v>
      </c>
      <c r="D14" s="8" t="s">
        <v>49</v>
      </c>
      <c r="E14" s="57"/>
      <c r="F14" s="40"/>
      <c r="G14" s="26"/>
      <c r="H14" s="27"/>
      <c r="I14" s="29"/>
      <c r="J14" s="12"/>
      <c r="K14" s="29"/>
      <c r="L14" s="27"/>
      <c r="M14" s="56"/>
      <c r="N14" s="196"/>
      <c r="O14" s="130"/>
      <c r="P14" s="27"/>
      <c r="Q14" s="27"/>
      <c r="R14" s="27"/>
      <c r="S14" s="27"/>
      <c r="T14" s="29"/>
      <c r="U14" s="29"/>
      <c r="V14" s="12">
        <f t="shared" si="0"/>
        <v>0</v>
      </c>
    </row>
    <row r="15" spans="1:22" ht="21" customHeight="1" x14ac:dyDescent="0.45">
      <c r="A15" s="11">
        <v>8</v>
      </c>
      <c r="B15" s="5" t="s">
        <v>15</v>
      </c>
      <c r="C15" s="5" t="s">
        <v>16</v>
      </c>
      <c r="D15" s="8" t="s">
        <v>48</v>
      </c>
      <c r="E15" s="57"/>
      <c r="F15" s="41"/>
      <c r="G15" s="29"/>
      <c r="H15" s="29"/>
      <c r="I15" s="29"/>
      <c r="J15" s="12"/>
      <c r="K15" s="29"/>
      <c r="L15" s="29"/>
      <c r="M15" s="56"/>
      <c r="N15" s="196"/>
      <c r="O15" s="130"/>
      <c r="P15" s="27"/>
      <c r="Q15" s="27"/>
      <c r="R15" s="27"/>
      <c r="S15" s="27"/>
      <c r="T15" s="27"/>
      <c r="U15" s="27"/>
      <c r="V15" s="12">
        <f t="shared" si="0"/>
        <v>0</v>
      </c>
    </row>
    <row r="16" spans="1:22" ht="21" customHeight="1" x14ac:dyDescent="0.45">
      <c r="A16" s="11">
        <v>9</v>
      </c>
      <c r="B16" s="5" t="s">
        <v>18</v>
      </c>
      <c r="C16" s="132" t="s">
        <v>141</v>
      </c>
      <c r="D16" s="8" t="s">
        <v>48</v>
      </c>
      <c r="E16" s="57"/>
      <c r="F16" s="40"/>
      <c r="G16" s="26"/>
      <c r="H16" s="29"/>
      <c r="I16" s="29"/>
      <c r="J16" s="12"/>
      <c r="K16" s="29"/>
      <c r="L16" s="27"/>
      <c r="M16" s="56"/>
      <c r="N16" s="197"/>
      <c r="O16" s="130"/>
      <c r="P16" s="27"/>
      <c r="Q16" s="27"/>
      <c r="R16" s="27"/>
      <c r="S16" s="27"/>
      <c r="T16" s="27"/>
      <c r="U16" s="27"/>
      <c r="V16" s="12">
        <f t="shared" si="0"/>
        <v>0</v>
      </c>
    </row>
    <row r="17" spans="1:22" ht="21" customHeight="1" x14ac:dyDescent="0.45">
      <c r="A17" s="11">
        <v>10</v>
      </c>
      <c r="B17" s="5" t="s">
        <v>273</v>
      </c>
      <c r="C17" s="129" t="s">
        <v>17</v>
      </c>
      <c r="D17" s="7" t="s">
        <v>48</v>
      </c>
      <c r="E17" s="57"/>
      <c r="F17" s="41"/>
      <c r="G17" s="26"/>
      <c r="H17" s="29"/>
      <c r="I17" s="29"/>
      <c r="J17" s="12"/>
      <c r="K17" s="29"/>
      <c r="L17" s="27"/>
      <c r="M17" s="56"/>
      <c r="N17" s="196"/>
      <c r="O17" s="130"/>
      <c r="P17" s="27"/>
      <c r="Q17" s="27"/>
      <c r="R17" s="27"/>
      <c r="S17" s="27"/>
      <c r="T17" s="27"/>
      <c r="U17" s="27"/>
      <c r="V17" s="12">
        <f t="shared" si="0"/>
        <v>0</v>
      </c>
    </row>
    <row r="18" spans="1:22" ht="21" customHeight="1" x14ac:dyDescent="0.45">
      <c r="A18" s="11">
        <v>11</v>
      </c>
      <c r="B18" s="5" t="s">
        <v>13</v>
      </c>
      <c r="C18" s="129" t="s">
        <v>14</v>
      </c>
      <c r="D18" s="7" t="s">
        <v>46</v>
      </c>
      <c r="E18" s="57"/>
      <c r="F18" s="40"/>
      <c r="G18" s="29"/>
      <c r="H18" s="29"/>
      <c r="I18" s="29"/>
      <c r="J18" s="27"/>
      <c r="K18" s="29"/>
      <c r="L18" s="27"/>
      <c r="M18" s="56"/>
      <c r="N18" s="196"/>
      <c r="O18" s="130"/>
      <c r="P18" s="27"/>
      <c r="Q18" s="27"/>
      <c r="R18" s="27"/>
      <c r="S18" s="27"/>
      <c r="T18" s="27"/>
      <c r="U18" s="27"/>
      <c r="V18" s="12">
        <f t="shared" si="0"/>
        <v>0</v>
      </c>
    </row>
    <row r="19" spans="1:22" ht="21" customHeight="1" x14ac:dyDescent="0.45">
      <c r="A19" s="11">
        <v>12</v>
      </c>
      <c r="B19" s="5" t="s">
        <v>21</v>
      </c>
      <c r="C19" s="129" t="s">
        <v>145</v>
      </c>
      <c r="D19" s="7" t="s">
        <v>50</v>
      </c>
      <c r="E19" s="57"/>
      <c r="F19" s="40"/>
      <c r="G19" s="26"/>
      <c r="H19" s="27"/>
      <c r="I19" s="29"/>
      <c r="J19" s="12"/>
      <c r="K19" s="29"/>
      <c r="L19" s="27"/>
      <c r="M19" s="56"/>
      <c r="N19" s="196"/>
      <c r="O19" s="130"/>
      <c r="P19" s="27"/>
      <c r="Q19" s="27"/>
      <c r="R19" s="27"/>
      <c r="S19" s="27"/>
      <c r="T19" s="27"/>
      <c r="U19" s="27"/>
      <c r="V19" s="12">
        <f t="shared" si="0"/>
        <v>0</v>
      </c>
    </row>
    <row r="20" spans="1:22" ht="21" customHeight="1" x14ac:dyDescent="0.45">
      <c r="A20" s="11">
        <v>13</v>
      </c>
      <c r="B20" s="5" t="s">
        <v>22</v>
      </c>
      <c r="C20" s="129" t="s">
        <v>146</v>
      </c>
      <c r="D20" s="7" t="s">
        <v>51</v>
      </c>
      <c r="E20" s="57"/>
      <c r="F20" s="40"/>
      <c r="G20" s="29"/>
      <c r="H20" s="29"/>
      <c r="I20" s="29"/>
      <c r="J20" s="12"/>
      <c r="K20" s="29"/>
      <c r="L20" s="27"/>
      <c r="M20" s="56"/>
      <c r="N20" s="196"/>
      <c r="O20" s="133"/>
      <c r="P20" s="27"/>
      <c r="Q20" s="27"/>
      <c r="R20" s="27"/>
      <c r="S20" s="27"/>
      <c r="T20" s="27"/>
      <c r="U20" s="27"/>
      <c r="V20" s="12">
        <f t="shared" si="0"/>
        <v>0</v>
      </c>
    </row>
    <row r="21" spans="1:22" ht="21" customHeight="1" x14ac:dyDescent="0.45">
      <c r="A21" s="11">
        <v>14</v>
      </c>
      <c r="B21" s="10" t="s">
        <v>180</v>
      </c>
      <c r="C21" s="39" t="s">
        <v>181</v>
      </c>
      <c r="D21" s="48" t="s">
        <v>152</v>
      </c>
      <c r="E21" s="198"/>
      <c r="F21" s="46"/>
      <c r="G21" s="26"/>
      <c r="H21" s="29"/>
      <c r="I21" s="29"/>
      <c r="J21" s="12"/>
      <c r="K21" s="29"/>
      <c r="L21" s="27"/>
      <c r="M21" s="56"/>
      <c r="N21" s="54"/>
      <c r="O21" s="45"/>
      <c r="P21" s="27"/>
      <c r="Q21" s="27"/>
      <c r="R21" s="27"/>
      <c r="S21" s="27"/>
      <c r="T21" s="27"/>
      <c r="U21" s="27"/>
      <c r="V21" s="12">
        <f t="shared" si="0"/>
        <v>0</v>
      </c>
    </row>
    <row r="22" spans="1:22" ht="21" customHeight="1" x14ac:dyDescent="0.45">
      <c r="A22" s="11">
        <v>15</v>
      </c>
      <c r="B22" s="134" t="s">
        <v>23</v>
      </c>
      <c r="C22" s="135" t="s">
        <v>147</v>
      </c>
      <c r="D22" s="7" t="s">
        <v>51</v>
      </c>
      <c r="E22" s="57"/>
      <c r="F22" s="40"/>
      <c r="G22" s="26"/>
      <c r="H22" s="27"/>
      <c r="I22" s="29"/>
      <c r="J22" s="12"/>
      <c r="K22" s="29"/>
      <c r="L22" s="27"/>
      <c r="M22" s="56"/>
      <c r="N22" s="196"/>
      <c r="O22" s="130"/>
      <c r="P22" s="27"/>
      <c r="Q22" s="27"/>
      <c r="R22" s="27"/>
      <c r="S22" s="27"/>
      <c r="T22" s="29"/>
      <c r="U22" s="29"/>
      <c r="V22" s="12">
        <f t="shared" si="0"/>
        <v>0</v>
      </c>
    </row>
    <row r="23" spans="1:22" ht="21" customHeight="1" x14ac:dyDescent="0.45">
      <c r="A23" s="11">
        <v>16</v>
      </c>
      <c r="B23" s="36" t="s">
        <v>150</v>
      </c>
      <c r="C23" s="7" t="s">
        <v>151</v>
      </c>
      <c r="D23" s="48" t="s">
        <v>152</v>
      </c>
      <c r="E23" s="57"/>
      <c r="F23" s="46"/>
      <c r="G23" s="26"/>
      <c r="H23" s="27"/>
      <c r="I23" s="29"/>
      <c r="J23" s="12"/>
      <c r="K23" s="29"/>
      <c r="L23" s="27"/>
      <c r="M23" s="56"/>
      <c r="N23" s="196"/>
      <c r="O23" s="130"/>
      <c r="P23" s="27"/>
      <c r="Q23" s="29"/>
      <c r="R23" s="27"/>
      <c r="S23" s="27"/>
      <c r="T23" s="29"/>
      <c r="U23" s="29"/>
      <c r="V23" s="12">
        <f>E23+F23+G23+H23+I23+J23+K23+L23+M23-N23-O23-P23-Q23-R23-S23-T23-U23</f>
        <v>0</v>
      </c>
    </row>
    <row r="24" spans="1:22" ht="21" customHeight="1" x14ac:dyDescent="0.45">
      <c r="A24" s="11">
        <v>17</v>
      </c>
      <c r="B24" s="127" t="s">
        <v>148</v>
      </c>
      <c r="C24" s="7" t="s">
        <v>149</v>
      </c>
      <c r="D24" s="8" t="s">
        <v>51</v>
      </c>
      <c r="E24" s="57"/>
      <c r="F24" s="46"/>
      <c r="G24" s="29"/>
      <c r="H24" s="29"/>
      <c r="I24" s="29"/>
      <c r="J24" s="12"/>
      <c r="K24" s="29"/>
      <c r="L24" s="27"/>
      <c r="M24" s="56"/>
      <c r="N24" s="196"/>
      <c r="O24" s="130"/>
      <c r="P24" s="27"/>
      <c r="Q24" s="27"/>
      <c r="R24" s="27"/>
      <c r="S24" s="27"/>
      <c r="T24" s="29"/>
      <c r="U24" s="29"/>
      <c r="V24" s="12">
        <f>E24+F24+G24+H24+I24+J24+K24+L24+M24-N24-O24-P24-Q24-R24-S24-T24-U24</f>
        <v>0</v>
      </c>
    </row>
    <row r="25" spans="1:22" s="14" customFormat="1" ht="21" customHeight="1" x14ac:dyDescent="0.45">
      <c r="A25" s="252" t="s">
        <v>60</v>
      </c>
      <c r="B25" s="252"/>
      <c r="C25" s="252"/>
      <c r="D25" s="252"/>
      <c r="E25" s="13">
        <f>SUM(E8:E24)</f>
        <v>0</v>
      </c>
      <c r="F25" s="13">
        <f t="shared" ref="F25:L25" si="1">SUM(F8:F24)</f>
        <v>0</v>
      </c>
      <c r="G25" s="13">
        <f>SUM(G8:G24)</f>
        <v>200</v>
      </c>
      <c r="H25" s="13">
        <f t="shared" si="1"/>
        <v>0</v>
      </c>
      <c r="I25" s="13">
        <f t="shared" si="1"/>
        <v>0</v>
      </c>
      <c r="J25" s="13">
        <f t="shared" si="1"/>
        <v>0</v>
      </c>
      <c r="K25" s="13">
        <f t="shared" si="1"/>
        <v>20</v>
      </c>
      <c r="L25" s="13">
        <f t="shared" si="1"/>
        <v>0</v>
      </c>
      <c r="M25" s="224">
        <f>SUM(M8:M24)</f>
        <v>0</v>
      </c>
      <c r="N25" s="225">
        <f>SUM(N8:N24)</f>
        <v>0</v>
      </c>
      <c r="O25" s="13">
        <f t="shared" ref="O25:U25" si="2">SUM(O8:O24)</f>
        <v>0</v>
      </c>
      <c r="P25" s="13">
        <f t="shared" si="2"/>
        <v>0</v>
      </c>
      <c r="Q25" s="13">
        <f t="shared" si="2"/>
        <v>0</v>
      </c>
      <c r="R25" s="13">
        <f t="shared" si="2"/>
        <v>0</v>
      </c>
      <c r="S25" s="13">
        <f t="shared" si="2"/>
        <v>10</v>
      </c>
      <c r="T25" s="13">
        <f t="shared" si="2"/>
        <v>0</v>
      </c>
      <c r="U25" s="13">
        <f t="shared" si="2"/>
        <v>0</v>
      </c>
      <c r="V25" s="13">
        <f>SUM(V8:V24)</f>
        <v>210</v>
      </c>
    </row>
    <row r="26" spans="1:22" s="14" customFormat="1" ht="21" customHeight="1" x14ac:dyDescent="0.45">
      <c r="A26" s="252" t="s">
        <v>61</v>
      </c>
      <c r="B26" s="252"/>
      <c r="C26" s="252"/>
      <c r="D26" s="252"/>
      <c r="E26" s="13">
        <f>E25</f>
        <v>0</v>
      </c>
      <c r="F26" s="13">
        <f t="shared" ref="F26:U26" si="3">F25</f>
        <v>0</v>
      </c>
      <c r="G26" s="13">
        <f t="shared" si="3"/>
        <v>200</v>
      </c>
      <c r="H26" s="13">
        <f t="shared" si="3"/>
        <v>0</v>
      </c>
      <c r="I26" s="13">
        <f t="shared" si="3"/>
        <v>0</v>
      </c>
      <c r="J26" s="13">
        <f t="shared" si="3"/>
        <v>0</v>
      </c>
      <c r="K26" s="13">
        <f t="shared" si="3"/>
        <v>20</v>
      </c>
      <c r="L26" s="13">
        <f t="shared" si="3"/>
        <v>0</v>
      </c>
      <c r="M26" s="224">
        <f t="shared" si="3"/>
        <v>0</v>
      </c>
      <c r="N26" s="225">
        <f t="shared" si="3"/>
        <v>0</v>
      </c>
      <c r="O26" s="13">
        <f t="shared" si="3"/>
        <v>0</v>
      </c>
      <c r="P26" s="13">
        <f t="shared" si="3"/>
        <v>0</v>
      </c>
      <c r="Q26" s="13">
        <f t="shared" si="3"/>
        <v>0</v>
      </c>
      <c r="R26" s="13">
        <f t="shared" si="3"/>
        <v>0</v>
      </c>
      <c r="S26" s="13">
        <f t="shared" si="3"/>
        <v>10</v>
      </c>
      <c r="T26" s="13">
        <f t="shared" si="3"/>
        <v>0</v>
      </c>
      <c r="U26" s="13">
        <f t="shared" si="3"/>
        <v>0</v>
      </c>
      <c r="V26" s="13">
        <f>V25</f>
        <v>210</v>
      </c>
    </row>
    <row r="27" spans="1:22" ht="21" customHeight="1" x14ac:dyDescent="0.45">
      <c r="A27" s="11">
        <v>18</v>
      </c>
      <c r="B27" s="10" t="s">
        <v>44</v>
      </c>
      <c r="C27" s="136" t="s">
        <v>45</v>
      </c>
      <c r="D27" s="7" t="s">
        <v>47</v>
      </c>
      <c r="E27" s="57"/>
      <c r="F27" s="46"/>
      <c r="G27" s="26"/>
      <c r="H27" s="29"/>
      <c r="I27" s="29"/>
      <c r="J27" s="12"/>
      <c r="K27" s="29"/>
      <c r="L27" s="27"/>
      <c r="M27" s="220"/>
      <c r="N27" s="221"/>
      <c r="O27" s="130"/>
      <c r="P27" s="27"/>
      <c r="Q27" s="27"/>
      <c r="R27" s="27"/>
      <c r="S27" s="27"/>
      <c r="T27" s="27"/>
      <c r="U27" s="27"/>
      <c r="V27" s="12">
        <f t="shared" ref="V27:V36" si="4">E27+F27+G27+H27+I27+J27+K27+L27+M27-N27-O27-P27-Q27-R27-S27-T27-U27</f>
        <v>0</v>
      </c>
    </row>
    <row r="28" spans="1:22" ht="21" customHeight="1" x14ac:dyDescent="0.45">
      <c r="A28" s="11">
        <v>19</v>
      </c>
      <c r="B28" s="6" t="s">
        <v>24</v>
      </c>
      <c r="C28" s="137" t="s">
        <v>25</v>
      </c>
      <c r="D28" s="7" t="s">
        <v>47</v>
      </c>
      <c r="E28" s="57"/>
      <c r="F28" s="199"/>
      <c r="G28" s="26"/>
      <c r="H28" s="29"/>
      <c r="I28" s="29"/>
      <c r="J28" s="12"/>
      <c r="K28" s="29"/>
      <c r="L28" s="27"/>
      <c r="M28" s="56"/>
      <c r="N28" s="196"/>
      <c r="O28" s="130"/>
      <c r="P28" s="27"/>
      <c r="Q28" s="27"/>
      <c r="R28" s="27"/>
      <c r="S28" s="27"/>
      <c r="T28" s="27"/>
      <c r="U28" s="27"/>
      <c r="V28" s="12">
        <f t="shared" si="4"/>
        <v>0</v>
      </c>
    </row>
    <row r="29" spans="1:22" ht="21" customHeight="1" x14ac:dyDescent="0.45">
      <c r="A29" s="11">
        <v>20</v>
      </c>
      <c r="B29" s="6" t="s">
        <v>28</v>
      </c>
      <c r="C29" s="137" t="s">
        <v>29</v>
      </c>
      <c r="D29" s="7" t="s">
        <v>47</v>
      </c>
      <c r="E29" s="57"/>
      <c r="F29" s="199"/>
      <c r="G29" s="26"/>
      <c r="H29" s="29"/>
      <c r="I29" s="29"/>
      <c r="J29" s="12"/>
      <c r="K29" s="29"/>
      <c r="L29" s="27"/>
      <c r="M29" s="56"/>
      <c r="N29" s="196"/>
      <c r="O29" s="130"/>
      <c r="P29" s="27"/>
      <c r="Q29" s="27"/>
      <c r="R29" s="27"/>
      <c r="S29" s="27"/>
      <c r="T29" s="27"/>
      <c r="U29" s="27"/>
      <c r="V29" s="12">
        <f t="shared" si="4"/>
        <v>0</v>
      </c>
    </row>
    <row r="30" spans="1:22" ht="21" customHeight="1" x14ac:dyDescent="0.45">
      <c r="A30" s="11">
        <v>21</v>
      </c>
      <c r="B30" s="5" t="s">
        <v>12</v>
      </c>
      <c r="C30" s="129" t="s">
        <v>237</v>
      </c>
      <c r="D30" s="7" t="s">
        <v>47</v>
      </c>
      <c r="E30" s="57"/>
      <c r="F30" s="40"/>
      <c r="G30" s="26"/>
      <c r="H30" s="29"/>
      <c r="I30" s="29"/>
      <c r="J30" s="12"/>
      <c r="K30" s="29"/>
      <c r="L30" s="27"/>
      <c r="M30" s="56"/>
      <c r="N30" s="197"/>
      <c r="O30" s="130"/>
      <c r="P30" s="29"/>
      <c r="Q30" s="27"/>
      <c r="R30" s="29"/>
      <c r="S30" s="29"/>
      <c r="T30" s="27"/>
      <c r="U30" s="27"/>
      <c r="V30" s="12">
        <f t="shared" si="4"/>
        <v>0</v>
      </c>
    </row>
    <row r="31" spans="1:22" ht="21" customHeight="1" x14ac:dyDescent="0.45">
      <c r="A31" s="11">
        <v>22</v>
      </c>
      <c r="B31" s="5" t="s">
        <v>110</v>
      </c>
      <c r="C31" s="129" t="s">
        <v>11</v>
      </c>
      <c r="D31" s="7" t="s">
        <v>47</v>
      </c>
      <c r="E31" s="57"/>
      <c r="F31" s="40"/>
      <c r="G31" s="26"/>
      <c r="H31" s="29"/>
      <c r="I31" s="29"/>
      <c r="J31" s="12"/>
      <c r="K31" s="29"/>
      <c r="L31" s="27"/>
      <c r="M31" s="56"/>
      <c r="N31" s="196"/>
      <c r="O31" s="130"/>
      <c r="P31" s="27"/>
      <c r="Q31" s="27"/>
      <c r="R31" s="27"/>
      <c r="S31" s="27"/>
      <c r="T31" s="27"/>
      <c r="U31" s="27"/>
      <c r="V31" s="12">
        <f t="shared" si="4"/>
        <v>0</v>
      </c>
    </row>
    <row r="32" spans="1:22" ht="21" customHeight="1" x14ac:dyDescent="0.45">
      <c r="A32" s="11">
        <v>23</v>
      </c>
      <c r="B32" s="6" t="s">
        <v>35</v>
      </c>
      <c r="C32" s="137" t="s">
        <v>36</v>
      </c>
      <c r="D32" s="7" t="s">
        <v>47</v>
      </c>
      <c r="E32" s="57"/>
      <c r="F32" s="199"/>
      <c r="G32" s="26"/>
      <c r="H32" s="29"/>
      <c r="I32" s="29"/>
      <c r="J32" s="12"/>
      <c r="K32" s="29"/>
      <c r="L32" s="27"/>
      <c r="M32" s="56"/>
      <c r="N32" s="196"/>
      <c r="O32" s="130"/>
      <c r="P32" s="27"/>
      <c r="Q32" s="27"/>
      <c r="R32" s="200"/>
      <c r="S32" s="29"/>
      <c r="T32" s="29"/>
      <c r="U32" s="29"/>
      <c r="V32" s="12">
        <f t="shared" si="4"/>
        <v>0</v>
      </c>
    </row>
    <row r="33" spans="1:22" ht="21" customHeight="1" x14ac:dyDescent="0.45">
      <c r="A33" s="11">
        <v>24</v>
      </c>
      <c r="B33" s="10" t="s">
        <v>42</v>
      </c>
      <c r="C33" s="136" t="s">
        <v>43</v>
      </c>
      <c r="D33" s="7" t="s">
        <v>47</v>
      </c>
      <c r="E33" s="57"/>
      <c r="F33" s="46"/>
      <c r="G33" s="26"/>
      <c r="H33" s="29"/>
      <c r="I33" s="29"/>
      <c r="J33" s="12"/>
      <c r="K33" s="29"/>
      <c r="L33" s="29"/>
      <c r="M33" s="56"/>
      <c r="N33" s="196"/>
      <c r="O33" s="130"/>
      <c r="P33" s="27"/>
      <c r="Q33" s="27"/>
      <c r="R33" s="27"/>
      <c r="S33" s="27"/>
      <c r="T33" s="27"/>
      <c r="U33" s="27"/>
      <c r="V33" s="12">
        <f t="shared" si="4"/>
        <v>0</v>
      </c>
    </row>
    <row r="34" spans="1:22" ht="21" customHeight="1" x14ac:dyDescent="0.45">
      <c r="A34" s="11">
        <v>25</v>
      </c>
      <c r="B34" s="6" t="s">
        <v>26</v>
      </c>
      <c r="C34" s="137" t="s">
        <v>27</v>
      </c>
      <c r="D34" s="7" t="s">
        <v>47</v>
      </c>
      <c r="E34" s="57"/>
      <c r="F34" s="199"/>
      <c r="G34" s="26"/>
      <c r="H34" s="29"/>
      <c r="I34" s="29"/>
      <c r="J34" s="12"/>
      <c r="K34" s="29"/>
      <c r="L34" s="27"/>
      <c r="M34" s="56"/>
      <c r="N34" s="196"/>
      <c r="O34" s="130"/>
      <c r="P34" s="27"/>
      <c r="Q34" s="27"/>
      <c r="R34" s="27"/>
      <c r="S34" s="27"/>
      <c r="T34" s="27"/>
      <c r="U34" s="27"/>
      <c r="V34" s="12">
        <f t="shared" si="4"/>
        <v>0</v>
      </c>
    </row>
    <row r="35" spans="1:22" ht="21" customHeight="1" x14ac:dyDescent="0.45">
      <c r="A35" s="11">
        <v>26</v>
      </c>
      <c r="B35" s="10" t="s">
        <v>37</v>
      </c>
      <c r="C35" s="136" t="s">
        <v>38</v>
      </c>
      <c r="D35" s="7" t="s">
        <v>47</v>
      </c>
      <c r="E35" s="57"/>
      <c r="F35" s="46"/>
      <c r="G35" s="26"/>
      <c r="H35" s="29"/>
      <c r="I35" s="29"/>
      <c r="J35" s="12"/>
      <c r="K35" s="29"/>
      <c r="L35" s="27"/>
      <c r="M35" s="56"/>
      <c r="N35" s="197"/>
      <c r="O35" s="130"/>
      <c r="P35" s="27"/>
      <c r="Q35" s="27"/>
      <c r="R35" s="27"/>
      <c r="S35" s="27"/>
      <c r="T35" s="27"/>
      <c r="U35" s="27"/>
      <c r="V35" s="12">
        <f t="shared" si="4"/>
        <v>0</v>
      </c>
    </row>
    <row r="36" spans="1:22" ht="21" customHeight="1" x14ac:dyDescent="0.45">
      <c r="A36" s="11">
        <v>27</v>
      </c>
      <c r="B36" s="10" t="s">
        <v>39</v>
      </c>
      <c r="C36" s="136" t="s">
        <v>465</v>
      </c>
      <c r="D36" s="7" t="s">
        <v>47</v>
      </c>
      <c r="E36" s="57"/>
      <c r="F36" s="46"/>
      <c r="G36" s="26"/>
      <c r="H36" s="29"/>
      <c r="I36" s="29"/>
      <c r="J36" s="12"/>
      <c r="K36" s="29"/>
      <c r="L36" s="27"/>
      <c r="M36" s="56"/>
      <c r="N36" s="197"/>
      <c r="O36" s="130"/>
      <c r="P36" s="27"/>
      <c r="Q36" s="27"/>
      <c r="R36" s="203"/>
      <c r="S36" s="29"/>
      <c r="T36" s="29"/>
      <c r="U36" s="29"/>
      <c r="V36" s="12">
        <f t="shared" si="4"/>
        <v>0</v>
      </c>
    </row>
    <row r="37" spans="1:22" ht="21" customHeight="1" x14ac:dyDescent="0.45">
      <c r="A37" s="11">
        <v>28</v>
      </c>
      <c r="B37" s="10" t="s">
        <v>40</v>
      </c>
      <c r="C37" s="136" t="s">
        <v>41</v>
      </c>
      <c r="D37" s="7" t="s">
        <v>47</v>
      </c>
      <c r="E37" s="57"/>
      <c r="F37" s="46"/>
      <c r="G37" s="26"/>
      <c r="H37" s="29"/>
      <c r="I37" s="29"/>
      <c r="J37" s="12"/>
      <c r="K37" s="29"/>
      <c r="L37" s="27"/>
      <c r="M37" s="56"/>
      <c r="N37" s="197"/>
      <c r="O37" s="130"/>
      <c r="P37" s="27"/>
      <c r="Q37" s="27"/>
      <c r="R37" s="27"/>
      <c r="S37" s="27"/>
      <c r="T37" s="27"/>
      <c r="U37" s="27"/>
      <c r="V37" s="12">
        <f>E37+F37+G37+H37+I37+J37+K37+L37+M37-N37-O37-P37-Q37-R37-S37-T37-U37</f>
        <v>0</v>
      </c>
    </row>
    <row r="38" spans="1:22" ht="21" customHeight="1" x14ac:dyDescent="0.45">
      <c r="A38" s="11">
        <v>29</v>
      </c>
      <c r="B38" s="10" t="s">
        <v>161</v>
      </c>
      <c r="C38" s="136" t="s">
        <v>162</v>
      </c>
      <c r="D38" s="8" t="s">
        <v>47</v>
      </c>
      <c r="E38" s="57"/>
      <c r="F38" s="46"/>
      <c r="G38" s="26"/>
      <c r="H38" s="29"/>
      <c r="I38" s="29"/>
      <c r="J38" s="12"/>
      <c r="K38" s="29"/>
      <c r="L38" s="27"/>
      <c r="M38" s="56"/>
      <c r="N38" s="196"/>
      <c r="O38" s="130"/>
      <c r="P38" s="27"/>
      <c r="Q38" s="27"/>
      <c r="R38" s="27"/>
      <c r="S38" s="29"/>
      <c r="T38" s="27"/>
      <c r="U38" s="27"/>
      <c r="V38" s="12">
        <f>E38+F38+G38+H38+I38+J38+K38+L38+M38-N38-O38-P38-Q38-R38-S38-T38-U38</f>
        <v>0</v>
      </c>
    </row>
    <row r="39" spans="1:22" ht="21" customHeight="1" x14ac:dyDescent="0.45">
      <c r="A39" s="11">
        <v>30</v>
      </c>
      <c r="B39" s="10" t="s">
        <v>163</v>
      </c>
      <c r="C39" s="39" t="s">
        <v>164</v>
      </c>
      <c r="D39" s="8" t="s">
        <v>47</v>
      </c>
      <c r="E39" s="58"/>
      <c r="F39" s="46"/>
      <c r="G39" s="26"/>
      <c r="H39" s="29"/>
      <c r="I39" s="29"/>
      <c r="J39" s="12"/>
      <c r="K39" s="29"/>
      <c r="L39" s="27"/>
      <c r="M39" s="56"/>
      <c r="N39" s="197"/>
      <c r="O39" s="45"/>
      <c r="P39" s="27"/>
      <c r="Q39" s="27"/>
      <c r="R39" s="27"/>
      <c r="S39" s="29"/>
      <c r="T39" s="27"/>
      <c r="U39" s="27"/>
      <c r="V39" s="12">
        <f>E39+F39+G39+H39+I39+J39+K39+L39+M39-N39-O39-P39-Q39-R39-S39-T39-U39</f>
        <v>0</v>
      </c>
    </row>
    <row r="40" spans="1:22" ht="21" customHeight="1" x14ac:dyDescent="0.45">
      <c r="A40" s="11">
        <v>31</v>
      </c>
      <c r="B40" s="25" t="s">
        <v>159</v>
      </c>
      <c r="C40" s="138" t="s">
        <v>160</v>
      </c>
      <c r="D40" s="8" t="s">
        <v>47</v>
      </c>
      <c r="E40" s="57"/>
      <c r="F40" s="46"/>
      <c r="G40" s="26"/>
      <c r="H40" s="29"/>
      <c r="I40" s="29"/>
      <c r="J40" s="12"/>
      <c r="K40" s="29"/>
      <c r="L40" s="27"/>
      <c r="M40" s="56"/>
      <c r="N40" s="196"/>
      <c r="O40" s="130"/>
      <c r="P40" s="27"/>
      <c r="Q40" s="27"/>
      <c r="R40" s="29"/>
      <c r="S40" s="29"/>
      <c r="T40" s="27"/>
      <c r="U40" s="27"/>
      <c r="V40" s="12">
        <f>E40+F40+G40+H40+I40+J40+K40+L40+M40-N40-O40-P40-Q40-R40-S40-T40-U40</f>
        <v>0</v>
      </c>
    </row>
    <row r="41" spans="1:22" ht="21" customHeight="1" x14ac:dyDescent="0.45">
      <c r="A41" s="11">
        <v>32</v>
      </c>
      <c r="B41" s="36" t="s">
        <v>183</v>
      </c>
      <c r="C41" s="7" t="s">
        <v>184</v>
      </c>
      <c r="D41" s="8" t="s">
        <v>47</v>
      </c>
      <c r="E41" s="58"/>
      <c r="F41" s="46"/>
      <c r="G41" s="26"/>
      <c r="H41" s="29"/>
      <c r="I41" s="29"/>
      <c r="J41" s="12"/>
      <c r="K41" s="29"/>
      <c r="L41" s="27"/>
      <c r="M41" s="56"/>
      <c r="N41" s="196"/>
      <c r="O41" s="130"/>
      <c r="P41" s="27"/>
      <c r="Q41" s="27"/>
      <c r="R41" s="27"/>
      <c r="S41" s="29"/>
      <c r="T41" s="27"/>
      <c r="U41" s="27"/>
      <c r="V41" s="12">
        <f t="shared" ref="V41" si="5">E41+F41+G41+H41+I41+J41+K41+L41+M41-N41-O41-P41-Q41-R41-S41-T41-U41</f>
        <v>0</v>
      </c>
    </row>
    <row r="42" spans="1:22" ht="21" customHeight="1" x14ac:dyDescent="0.45">
      <c r="A42" s="11">
        <v>33</v>
      </c>
      <c r="B42" s="37" t="s">
        <v>155</v>
      </c>
      <c r="C42" s="37" t="s">
        <v>156</v>
      </c>
      <c r="D42" s="8" t="s">
        <v>47</v>
      </c>
      <c r="E42" s="58"/>
      <c r="F42" s="46"/>
      <c r="G42" s="26"/>
      <c r="H42" s="29"/>
      <c r="I42" s="29"/>
      <c r="J42" s="12"/>
      <c r="K42" s="29"/>
      <c r="L42" s="27"/>
      <c r="M42" s="56"/>
      <c r="N42" s="196"/>
      <c r="O42" s="130"/>
      <c r="P42" s="27"/>
      <c r="Q42" s="27"/>
      <c r="R42" s="29"/>
      <c r="S42" s="29"/>
      <c r="T42" s="29"/>
      <c r="U42" s="29"/>
      <c r="V42" s="12">
        <f>E42+F42+G42+H42+I42+J42+K42+L42+M42-N42-O42-P42-Q42-R42-S42-T42-U42</f>
        <v>0</v>
      </c>
    </row>
    <row r="43" spans="1:22" s="14" customFormat="1" ht="21" customHeight="1" x14ac:dyDescent="0.45">
      <c r="A43" s="253" t="s">
        <v>60</v>
      </c>
      <c r="B43" s="278"/>
      <c r="C43" s="278"/>
      <c r="D43" s="279"/>
      <c r="E43" s="13">
        <f>SUM(E26:E42)</f>
        <v>0</v>
      </c>
      <c r="F43" s="13">
        <f t="shared" ref="F43:L43" si="6">SUM(F26:F42)</f>
        <v>0</v>
      </c>
      <c r="G43" s="13">
        <f t="shared" si="6"/>
        <v>200</v>
      </c>
      <c r="H43" s="13">
        <f t="shared" si="6"/>
        <v>0</v>
      </c>
      <c r="I43" s="13">
        <f t="shared" si="6"/>
        <v>0</v>
      </c>
      <c r="J43" s="13">
        <f>SUM(J26:J42)</f>
        <v>0</v>
      </c>
      <c r="K43" s="13">
        <f t="shared" si="6"/>
        <v>20</v>
      </c>
      <c r="L43" s="13">
        <f t="shared" si="6"/>
        <v>0</v>
      </c>
      <c r="M43" s="224">
        <f>SUM(M26:M42)</f>
        <v>0</v>
      </c>
      <c r="N43" s="225">
        <f>SUM(N26:N42)</f>
        <v>0</v>
      </c>
      <c r="O43" s="13">
        <f>SUM(O26:O42)</f>
        <v>0</v>
      </c>
      <c r="P43" s="13">
        <f t="shared" ref="P43:U43" si="7">SUM(P26:P42)</f>
        <v>0</v>
      </c>
      <c r="Q43" s="13">
        <f t="shared" si="7"/>
        <v>0</v>
      </c>
      <c r="R43" s="13">
        <f t="shared" si="7"/>
        <v>0</v>
      </c>
      <c r="S43" s="13">
        <f t="shared" si="7"/>
        <v>10</v>
      </c>
      <c r="T43" s="13">
        <f t="shared" si="7"/>
        <v>0</v>
      </c>
      <c r="U43" s="13">
        <f t="shared" si="7"/>
        <v>0</v>
      </c>
      <c r="V43" s="13">
        <f>SUM(V26:V42)</f>
        <v>210</v>
      </c>
    </row>
    <row r="44" spans="1:22" s="14" customFormat="1" ht="21" customHeight="1" x14ac:dyDescent="0.45">
      <c r="A44" s="253" t="s">
        <v>61</v>
      </c>
      <c r="B44" s="278"/>
      <c r="C44" s="278"/>
      <c r="D44" s="279"/>
      <c r="E44" s="13">
        <f>E43</f>
        <v>0</v>
      </c>
      <c r="F44" s="13">
        <f t="shared" ref="F44:U44" si="8">F43</f>
        <v>0</v>
      </c>
      <c r="G44" s="13">
        <f t="shared" si="8"/>
        <v>200</v>
      </c>
      <c r="H44" s="13">
        <f t="shared" si="8"/>
        <v>0</v>
      </c>
      <c r="I44" s="13">
        <f t="shared" si="8"/>
        <v>0</v>
      </c>
      <c r="J44" s="13">
        <f t="shared" si="8"/>
        <v>0</v>
      </c>
      <c r="K44" s="13">
        <f>K43</f>
        <v>20</v>
      </c>
      <c r="L44" s="13">
        <f t="shared" si="8"/>
        <v>0</v>
      </c>
      <c r="M44" s="51">
        <f t="shared" si="8"/>
        <v>0</v>
      </c>
      <c r="N44" s="59">
        <f t="shared" si="8"/>
        <v>0</v>
      </c>
      <c r="O44" s="13">
        <f t="shared" si="8"/>
        <v>0</v>
      </c>
      <c r="P44" s="13">
        <f t="shared" si="8"/>
        <v>0</v>
      </c>
      <c r="Q44" s="13">
        <f t="shared" si="8"/>
        <v>0</v>
      </c>
      <c r="R44" s="175">
        <f t="shared" si="8"/>
        <v>0</v>
      </c>
      <c r="S44" s="13">
        <f>S43</f>
        <v>10</v>
      </c>
      <c r="T44" s="13">
        <f t="shared" si="8"/>
        <v>0</v>
      </c>
      <c r="U44" s="13">
        <f t="shared" si="8"/>
        <v>0</v>
      </c>
      <c r="V44" s="13">
        <f>V43</f>
        <v>210</v>
      </c>
    </row>
    <row r="45" spans="1:22" ht="21" customHeight="1" x14ac:dyDescent="0.45">
      <c r="A45" s="11">
        <v>34</v>
      </c>
      <c r="B45" s="37" t="s">
        <v>92</v>
      </c>
      <c r="C45" s="37" t="s">
        <v>93</v>
      </c>
      <c r="D45" s="8" t="s">
        <v>47</v>
      </c>
      <c r="E45" s="58"/>
      <c r="F45" s="46"/>
      <c r="G45" s="26"/>
      <c r="H45" s="29"/>
      <c r="I45" s="29"/>
      <c r="J45" s="12"/>
      <c r="K45" s="29"/>
      <c r="L45" s="27"/>
      <c r="M45" s="56"/>
      <c r="N45" s="196"/>
      <c r="O45" s="130"/>
      <c r="P45" s="27"/>
      <c r="Q45" s="27"/>
      <c r="R45" s="27"/>
      <c r="S45" s="29"/>
      <c r="T45" s="29"/>
      <c r="U45" s="29"/>
      <c r="V45" s="12">
        <f>E45+F45+G45+H45+I45+J45+K45+L45+M45-N45-O45-P45-Q45-R45-S45-T45-U45</f>
        <v>0</v>
      </c>
    </row>
    <row r="46" spans="1:22" ht="21" customHeight="1" x14ac:dyDescent="0.45">
      <c r="A46" s="11">
        <v>35</v>
      </c>
      <c r="B46" s="37" t="s">
        <v>153</v>
      </c>
      <c r="C46" s="37" t="s">
        <v>154</v>
      </c>
      <c r="D46" s="8" t="s">
        <v>47</v>
      </c>
      <c r="E46" s="58"/>
      <c r="F46" s="46"/>
      <c r="G46" s="26"/>
      <c r="H46" s="29"/>
      <c r="I46" s="29"/>
      <c r="J46" s="12"/>
      <c r="K46" s="29"/>
      <c r="L46" s="27"/>
      <c r="M46" s="56"/>
      <c r="N46" s="196"/>
      <c r="O46" s="130"/>
      <c r="P46" s="27"/>
      <c r="Q46" s="27"/>
      <c r="R46" s="27"/>
      <c r="S46" s="29"/>
      <c r="T46" s="29"/>
      <c r="U46" s="29"/>
      <c r="V46" s="12">
        <f>E46+F46+G46+H46+I46+J46+K46+L46+M46-N46-O46-P46-Q46-R46-S46-T46-U46</f>
        <v>0</v>
      </c>
    </row>
    <row r="47" spans="1:22" ht="21" customHeight="1" x14ac:dyDescent="0.45">
      <c r="A47" s="11">
        <v>36</v>
      </c>
      <c r="B47" s="37" t="s">
        <v>157</v>
      </c>
      <c r="C47" s="37" t="s">
        <v>158</v>
      </c>
      <c r="D47" s="8" t="s">
        <v>47</v>
      </c>
      <c r="E47" s="58"/>
      <c r="F47" s="46"/>
      <c r="G47" s="26"/>
      <c r="H47" s="29"/>
      <c r="I47" s="29"/>
      <c r="J47" s="12"/>
      <c r="K47" s="29"/>
      <c r="L47" s="27"/>
      <c r="M47" s="56"/>
      <c r="N47" s="196"/>
      <c r="O47" s="130"/>
      <c r="P47" s="27"/>
      <c r="Q47" s="27"/>
      <c r="R47" s="27"/>
      <c r="S47" s="29"/>
      <c r="T47" s="29"/>
      <c r="U47" s="29"/>
      <c r="V47" s="12">
        <f>E47+F47+G47+H47+I47+J47+K47+L47+M47-N47-O47-P47-Q47-R47-S47-T47-U47</f>
        <v>0</v>
      </c>
    </row>
    <row r="48" spans="1:22" ht="21" customHeight="1" x14ac:dyDescent="0.45">
      <c r="A48" s="11">
        <v>37</v>
      </c>
      <c r="B48" s="37" t="s">
        <v>185</v>
      </c>
      <c r="C48" s="37" t="s">
        <v>186</v>
      </c>
      <c r="D48" s="8" t="s">
        <v>47</v>
      </c>
      <c r="E48" s="58"/>
      <c r="F48" s="46"/>
      <c r="G48" s="26"/>
      <c r="H48" s="29"/>
      <c r="I48" s="29"/>
      <c r="J48" s="12"/>
      <c r="K48" s="29"/>
      <c r="L48" s="27"/>
      <c r="M48" s="56"/>
      <c r="N48" s="196"/>
      <c r="O48" s="130"/>
      <c r="P48" s="27"/>
      <c r="Q48" s="29"/>
      <c r="R48" s="27"/>
      <c r="S48" s="27"/>
      <c r="T48" s="29"/>
      <c r="U48" s="29"/>
      <c r="V48" s="12">
        <f t="shared" ref="V48:V53" si="9">E48+F48+G48+H48+I48+J48+K48+L48+M48-N48-O48-P48-Q48-R48-S48-T48-U48</f>
        <v>0</v>
      </c>
    </row>
    <row r="49" spans="1:22" ht="21" customHeight="1" x14ac:dyDescent="0.45">
      <c r="A49" s="11">
        <v>38</v>
      </c>
      <c r="B49" s="122" t="s">
        <v>97</v>
      </c>
      <c r="C49" s="123" t="s">
        <v>98</v>
      </c>
      <c r="D49" s="8" t="s">
        <v>47</v>
      </c>
      <c r="E49" s="58"/>
      <c r="F49" s="46"/>
      <c r="G49" s="26"/>
      <c r="H49" s="29"/>
      <c r="I49" s="29"/>
      <c r="J49" s="12"/>
      <c r="K49" s="29"/>
      <c r="L49" s="27"/>
      <c r="M49" s="56"/>
      <c r="N49" s="201"/>
      <c r="O49" s="130"/>
      <c r="P49" s="27"/>
      <c r="Q49" s="27"/>
      <c r="R49" s="27"/>
      <c r="S49" s="29"/>
      <c r="T49" s="29"/>
      <c r="U49" s="29"/>
      <c r="V49" s="12">
        <f t="shared" si="9"/>
        <v>0</v>
      </c>
    </row>
    <row r="50" spans="1:22" ht="21" customHeight="1" x14ac:dyDescent="0.45">
      <c r="A50" s="11">
        <v>39</v>
      </c>
      <c r="B50" s="127" t="s">
        <v>336</v>
      </c>
      <c r="C50" s="137" t="s">
        <v>231</v>
      </c>
      <c r="D50" s="8" t="s">
        <v>51</v>
      </c>
      <c r="E50" s="57"/>
      <c r="F50" s="199"/>
      <c r="G50" s="26"/>
      <c r="H50" s="29"/>
      <c r="I50" s="29"/>
      <c r="J50" s="12"/>
      <c r="K50" s="29"/>
      <c r="L50" s="29"/>
      <c r="M50" s="56"/>
      <c r="N50" s="196"/>
      <c r="O50" s="130"/>
      <c r="P50" s="27"/>
      <c r="Q50" s="27"/>
      <c r="R50" s="29"/>
      <c r="S50" s="29"/>
      <c r="T50" s="29"/>
      <c r="U50" s="29"/>
      <c r="V50" s="12">
        <f t="shared" si="9"/>
        <v>0</v>
      </c>
    </row>
    <row r="51" spans="1:22" ht="21" customHeight="1" x14ac:dyDescent="0.45">
      <c r="A51" s="11">
        <v>40</v>
      </c>
      <c r="B51" s="10" t="s">
        <v>261</v>
      </c>
      <c r="C51" s="39" t="s">
        <v>262</v>
      </c>
      <c r="D51" s="8" t="s">
        <v>47</v>
      </c>
      <c r="E51" s="57"/>
      <c r="F51" s="46"/>
      <c r="G51" s="26"/>
      <c r="H51" s="27"/>
      <c r="I51" s="29"/>
      <c r="J51" s="12"/>
      <c r="K51" s="29"/>
      <c r="L51" s="27"/>
      <c r="M51" s="56"/>
      <c r="N51" s="54"/>
      <c r="O51" s="45"/>
      <c r="P51" s="27"/>
      <c r="Q51" s="27"/>
      <c r="R51" s="27"/>
      <c r="S51" s="27"/>
      <c r="T51" s="27"/>
      <c r="U51" s="27"/>
      <c r="V51" s="12">
        <f t="shared" si="9"/>
        <v>0</v>
      </c>
    </row>
    <row r="52" spans="1:22" ht="21" customHeight="1" x14ac:dyDescent="0.45">
      <c r="A52" s="11">
        <v>41</v>
      </c>
      <c r="B52" s="10" t="s">
        <v>299</v>
      </c>
      <c r="C52" s="39" t="s">
        <v>300</v>
      </c>
      <c r="D52" s="26" t="s">
        <v>301</v>
      </c>
      <c r="E52" s="57"/>
      <c r="F52" s="46"/>
      <c r="G52" s="29"/>
      <c r="H52" s="27"/>
      <c r="I52" s="29"/>
      <c r="J52" s="12"/>
      <c r="K52" s="29"/>
      <c r="L52" s="27"/>
      <c r="M52" s="56"/>
      <c r="N52" s="54"/>
      <c r="O52" s="45"/>
      <c r="P52" s="27"/>
      <c r="Q52" s="27"/>
      <c r="R52" s="27"/>
      <c r="S52" s="27"/>
      <c r="T52" s="27"/>
      <c r="U52" s="27"/>
      <c r="V52" s="12">
        <f t="shared" si="9"/>
        <v>0</v>
      </c>
    </row>
    <row r="53" spans="1:22" ht="21" customHeight="1" x14ac:dyDescent="0.45">
      <c r="A53" s="11">
        <v>42</v>
      </c>
      <c r="B53" s="10" t="s">
        <v>174</v>
      </c>
      <c r="C53" s="39" t="s">
        <v>175</v>
      </c>
      <c r="D53" s="8" t="s">
        <v>47</v>
      </c>
      <c r="E53" s="57"/>
      <c r="F53" s="46"/>
      <c r="G53" s="29"/>
      <c r="H53" s="27"/>
      <c r="I53" s="29"/>
      <c r="J53" s="12"/>
      <c r="K53" s="29"/>
      <c r="L53" s="27"/>
      <c r="M53" s="56"/>
      <c r="N53" s="54"/>
      <c r="O53" s="45"/>
      <c r="P53" s="27"/>
      <c r="Q53" s="27"/>
      <c r="R53" s="27"/>
      <c r="S53" s="27"/>
      <c r="T53" s="27"/>
      <c r="U53" s="27"/>
      <c r="V53" s="12">
        <f t="shared" si="9"/>
        <v>0</v>
      </c>
    </row>
    <row r="54" spans="1:22" ht="21" customHeight="1" x14ac:dyDescent="0.45">
      <c r="A54" s="11">
        <v>43</v>
      </c>
      <c r="B54" s="10" t="s">
        <v>256</v>
      </c>
      <c r="C54" s="39" t="s">
        <v>257</v>
      </c>
      <c r="D54" s="48" t="s">
        <v>325</v>
      </c>
      <c r="E54" s="57"/>
      <c r="F54" s="46"/>
      <c r="G54" s="29"/>
      <c r="H54" s="27"/>
      <c r="I54" s="29"/>
      <c r="J54" s="12"/>
      <c r="K54" s="29"/>
      <c r="L54" s="27"/>
      <c r="M54" s="56"/>
      <c r="N54" s="54"/>
      <c r="O54" s="45"/>
      <c r="P54" s="27"/>
      <c r="Q54" s="27"/>
      <c r="R54" s="27"/>
      <c r="S54" s="27"/>
      <c r="T54" s="27"/>
      <c r="U54" s="27"/>
      <c r="V54" s="12">
        <f>E54+F54+G54+H54+I54+J54+K54+L54+M54-N54-O54-P54-Q54-R54-S54-T54-U54</f>
        <v>0</v>
      </c>
    </row>
    <row r="55" spans="1:22" ht="21" customHeight="1" x14ac:dyDescent="0.45">
      <c r="A55" s="11">
        <v>44</v>
      </c>
      <c r="B55" s="25" t="s">
        <v>215</v>
      </c>
      <c r="C55" s="37" t="s">
        <v>216</v>
      </c>
      <c r="D55" s="26" t="s">
        <v>337</v>
      </c>
      <c r="E55" s="57"/>
      <c r="F55" s="46"/>
      <c r="G55" s="29"/>
      <c r="H55" s="27"/>
      <c r="I55" s="29"/>
      <c r="J55" s="12"/>
      <c r="K55" s="29"/>
      <c r="L55" s="27"/>
      <c r="M55" s="56"/>
      <c r="N55" s="54"/>
      <c r="O55" s="45"/>
      <c r="P55" s="27"/>
      <c r="Q55" s="29"/>
      <c r="R55" s="29"/>
      <c r="S55" s="27"/>
      <c r="T55" s="27"/>
      <c r="U55" s="27"/>
      <c r="V55" s="12">
        <f t="shared" ref="V55" si="10">E55+F55+G55+H55+I55+J55+K55+L55+M55-N55-O55-P55-Q55-R55-S55-T55-U55</f>
        <v>0</v>
      </c>
    </row>
    <row r="56" spans="1:22" ht="21" customHeight="1" x14ac:dyDescent="0.45">
      <c r="A56" s="11">
        <v>45</v>
      </c>
      <c r="B56" s="10" t="s">
        <v>346</v>
      </c>
      <c r="C56" s="39" t="s">
        <v>347</v>
      </c>
      <c r="D56" s="8" t="s">
        <v>47</v>
      </c>
      <c r="E56" s="57"/>
      <c r="F56" s="46"/>
      <c r="G56" s="29"/>
      <c r="H56" s="27"/>
      <c r="I56" s="29"/>
      <c r="J56" s="12"/>
      <c r="K56" s="29"/>
      <c r="L56" s="27"/>
      <c r="M56" s="56"/>
      <c r="N56" s="54"/>
      <c r="O56" s="45"/>
      <c r="P56" s="27"/>
      <c r="Q56" s="27"/>
      <c r="R56" s="27"/>
      <c r="S56" s="27"/>
      <c r="T56" s="27"/>
      <c r="U56" s="27"/>
      <c r="V56" s="12">
        <f>E56+F56+G56+H56+I56+J56+K56+L56+M56-N56-O56-P56-Q56-R56-S56-T56-U56</f>
        <v>0</v>
      </c>
    </row>
    <row r="57" spans="1:22" ht="21" customHeight="1" x14ac:dyDescent="0.45">
      <c r="A57" s="11">
        <v>46</v>
      </c>
      <c r="B57" s="10" t="s">
        <v>390</v>
      </c>
      <c r="C57" s="39" t="s">
        <v>391</v>
      </c>
      <c r="D57" s="8" t="s">
        <v>48</v>
      </c>
      <c r="E57" s="57"/>
      <c r="F57" s="46"/>
      <c r="G57" s="29"/>
      <c r="H57" s="27"/>
      <c r="I57" s="29"/>
      <c r="J57" s="12"/>
      <c r="K57" s="29"/>
      <c r="L57" s="27"/>
      <c r="M57" s="56"/>
      <c r="N57" s="54"/>
      <c r="O57" s="45"/>
      <c r="P57" s="27"/>
      <c r="Q57" s="27"/>
      <c r="R57" s="27"/>
      <c r="S57" s="27"/>
      <c r="T57" s="27"/>
      <c r="U57" s="27"/>
      <c r="V57" s="12">
        <f>E57+F57+G57+H57+I57+J57+K57+L57+M57-N57-O57-P57-Q57-R57-S57-T57-U57</f>
        <v>0</v>
      </c>
    </row>
    <row r="58" spans="1:22" ht="21" customHeight="1" x14ac:dyDescent="0.45">
      <c r="A58" s="11">
        <v>47</v>
      </c>
      <c r="B58" s="10" t="s">
        <v>426</v>
      </c>
      <c r="C58" s="39" t="s">
        <v>427</v>
      </c>
      <c r="D58" s="8" t="s">
        <v>47</v>
      </c>
      <c r="E58" s="57"/>
      <c r="F58" s="46"/>
      <c r="G58" s="29"/>
      <c r="H58" s="27"/>
      <c r="I58" s="29"/>
      <c r="J58" s="12"/>
      <c r="K58" s="29"/>
      <c r="L58" s="27"/>
      <c r="M58" s="56"/>
      <c r="N58" s="54"/>
      <c r="O58" s="45"/>
      <c r="P58" s="27"/>
      <c r="Q58" s="27"/>
      <c r="R58" s="27"/>
      <c r="S58" s="27"/>
      <c r="T58" s="27"/>
      <c r="U58" s="27"/>
      <c r="V58" s="12">
        <f>E58+F58+G58+H58+I58+J58+K58+L58+M58-N58-O58-P58-Q58-R58-S58-T58-U58</f>
        <v>0</v>
      </c>
    </row>
    <row r="59" spans="1:22" ht="21" customHeight="1" x14ac:dyDescent="0.45">
      <c r="A59" s="11">
        <v>48</v>
      </c>
      <c r="B59" s="36" t="s">
        <v>353</v>
      </c>
      <c r="C59" s="7" t="s">
        <v>354</v>
      </c>
      <c r="D59" s="8" t="s">
        <v>47</v>
      </c>
      <c r="E59" s="57"/>
      <c r="F59" s="46"/>
      <c r="G59" s="29"/>
      <c r="H59" s="27"/>
      <c r="I59" s="29"/>
      <c r="J59" s="12"/>
      <c r="K59" s="29"/>
      <c r="L59" s="27"/>
      <c r="M59" s="56"/>
      <c r="N59" s="54"/>
      <c r="O59" s="45"/>
      <c r="P59" s="27"/>
      <c r="Q59" s="27"/>
      <c r="R59" s="202"/>
      <c r="S59" s="29"/>
      <c r="T59" s="27"/>
      <c r="U59" s="27"/>
      <c r="V59" s="12">
        <f>E59+F59+G59+H59+I59+J59+K59+L59+M59-N59-O59-P59-Q59-R59-S59-T59-U59</f>
        <v>0</v>
      </c>
    </row>
    <row r="60" spans="1:22" ht="21" customHeight="1" x14ac:dyDescent="0.45">
      <c r="A60" s="11">
        <v>49</v>
      </c>
      <c r="B60" s="10" t="s">
        <v>470</v>
      </c>
      <c r="C60" s="39" t="s">
        <v>471</v>
      </c>
      <c r="D60" s="8" t="s">
        <v>472</v>
      </c>
      <c r="E60" s="57"/>
      <c r="F60" s="46"/>
      <c r="G60" s="29"/>
      <c r="H60" s="29"/>
      <c r="I60" s="29"/>
      <c r="J60" s="12"/>
      <c r="K60" s="29"/>
      <c r="L60" s="27"/>
      <c r="M60" s="56"/>
      <c r="N60" s="54"/>
      <c r="O60" s="45"/>
      <c r="P60" s="27"/>
      <c r="Q60" s="27"/>
      <c r="R60" s="27"/>
      <c r="S60" s="27"/>
      <c r="T60" s="27"/>
      <c r="U60" s="27"/>
      <c r="V60" s="12">
        <f>E60+F60+G60+H60+I60+J60+K60+L60+M60-N60-O60-P60-Q60-R60-S60-T60-U60</f>
        <v>0</v>
      </c>
    </row>
    <row r="61" spans="1:22" s="14" customFormat="1" ht="21" customHeight="1" x14ac:dyDescent="0.45">
      <c r="A61" s="252" t="s">
        <v>60</v>
      </c>
      <c r="B61" s="252"/>
      <c r="C61" s="252"/>
      <c r="D61" s="252"/>
      <c r="E61" s="13">
        <f>SUM(E44:E60)</f>
        <v>0</v>
      </c>
      <c r="F61" s="13">
        <f t="shared" ref="F61:L61" si="11">SUM(F44:F60)</f>
        <v>0</v>
      </c>
      <c r="G61" s="13">
        <f t="shared" si="11"/>
        <v>200</v>
      </c>
      <c r="H61" s="13">
        <f t="shared" si="11"/>
        <v>0</v>
      </c>
      <c r="I61" s="13">
        <f t="shared" si="11"/>
        <v>0</v>
      </c>
      <c r="J61" s="13">
        <f>SUM(J44:J60)</f>
        <v>0</v>
      </c>
      <c r="K61" s="13">
        <f t="shared" si="11"/>
        <v>20</v>
      </c>
      <c r="L61" s="13">
        <f t="shared" si="11"/>
        <v>0</v>
      </c>
      <c r="M61" s="13">
        <f>SUM(M44:M60)</f>
        <v>0</v>
      </c>
      <c r="N61" s="59">
        <f>SUM(N44:N60)</f>
        <v>0</v>
      </c>
      <c r="O61" s="13">
        <f>SUM(O44:O60)</f>
        <v>0</v>
      </c>
      <c r="P61" s="13">
        <f t="shared" ref="P61:U61" si="12">SUM(P44:P60)</f>
        <v>0</v>
      </c>
      <c r="Q61" s="13">
        <f t="shared" si="12"/>
        <v>0</v>
      </c>
      <c r="R61" s="175">
        <f t="shared" si="12"/>
        <v>0</v>
      </c>
      <c r="S61" s="13">
        <f t="shared" si="12"/>
        <v>10</v>
      </c>
      <c r="T61" s="13">
        <f t="shared" si="12"/>
        <v>0</v>
      </c>
      <c r="U61" s="13">
        <f t="shared" si="12"/>
        <v>0</v>
      </c>
      <c r="V61" s="13">
        <f>SUM(V44:V60)</f>
        <v>210</v>
      </c>
    </row>
    <row r="62" spans="1:22" s="14" customFormat="1" ht="21" customHeight="1" x14ac:dyDescent="0.45">
      <c r="A62" s="252" t="s">
        <v>61</v>
      </c>
      <c r="B62" s="252"/>
      <c r="C62" s="252"/>
      <c r="D62" s="252"/>
      <c r="E62" s="13">
        <f>E61</f>
        <v>0</v>
      </c>
      <c r="F62" s="13">
        <f t="shared" ref="F62:V62" si="13">F61</f>
        <v>0</v>
      </c>
      <c r="G62" s="13">
        <f t="shared" si="13"/>
        <v>200</v>
      </c>
      <c r="H62" s="13">
        <f t="shared" si="13"/>
        <v>0</v>
      </c>
      <c r="I62" s="13">
        <f t="shared" si="13"/>
        <v>0</v>
      </c>
      <c r="J62" s="13">
        <f t="shared" si="13"/>
        <v>0</v>
      </c>
      <c r="K62" s="13">
        <f t="shared" si="13"/>
        <v>20</v>
      </c>
      <c r="L62" s="13">
        <f>L61</f>
        <v>0</v>
      </c>
      <c r="M62" s="51">
        <f t="shared" si="13"/>
        <v>0</v>
      </c>
      <c r="N62" s="59">
        <f t="shared" si="13"/>
        <v>0</v>
      </c>
      <c r="O62" s="13">
        <f t="shared" si="13"/>
        <v>0</v>
      </c>
      <c r="P62" s="13">
        <f t="shared" si="13"/>
        <v>0</v>
      </c>
      <c r="Q62" s="13">
        <f t="shared" si="13"/>
        <v>0</v>
      </c>
      <c r="R62" s="175">
        <f t="shared" si="13"/>
        <v>0</v>
      </c>
      <c r="S62" s="13">
        <f>S61</f>
        <v>10</v>
      </c>
      <c r="T62" s="13">
        <f t="shared" si="13"/>
        <v>0</v>
      </c>
      <c r="U62" s="13">
        <f t="shared" si="13"/>
        <v>0</v>
      </c>
      <c r="V62" s="13">
        <f t="shared" si="13"/>
        <v>210</v>
      </c>
    </row>
    <row r="63" spans="1:22" ht="21" customHeight="1" x14ac:dyDescent="0.45">
      <c r="A63" s="11">
        <v>50</v>
      </c>
      <c r="B63" s="37" t="s">
        <v>77</v>
      </c>
      <c r="C63" s="37" t="s">
        <v>503</v>
      </c>
      <c r="D63" s="26" t="s">
        <v>301</v>
      </c>
      <c r="E63" s="57"/>
      <c r="F63" s="46"/>
      <c r="G63" s="29"/>
      <c r="H63" s="27"/>
      <c r="I63" s="29"/>
      <c r="J63" s="12"/>
      <c r="K63" s="29"/>
      <c r="L63" s="27"/>
      <c r="M63" s="56"/>
      <c r="N63" s="54"/>
      <c r="O63" s="45"/>
      <c r="P63" s="27"/>
      <c r="Q63" s="27"/>
      <c r="R63" s="27"/>
      <c r="S63" s="27"/>
      <c r="T63" s="27"/>
      <c r="U63" s="27"/>
      <c r="V63" s="12">
        <f t="shared" ref="V63:V65" si="14">E63+F63+G63+H63+I63+J63+K63+L63+M63-N63-O63-P63-Q63-R63-S63-T63-U63</f>
        <v>0</v>
      </c>
    </row>
    <row r="64" spans="1:22" ht="21" customHeight="1" x14ac:dyDescent="0.45">
      <c r="A64" s="11">
        <v>51</v>
      </c>
      <c r="B64" s="37" t="s">
        <v>529</v>
      </c>
      <c r="C64" s="37" t="s">
        <v>530</v>
      </c>
      <c r="D64" s="48" t="s">
        <v>325</v>
      </c>
      <c r="E64" s="57"/>
      <c r="F64" s="46"/>
      <c r="G64" s="29"/>
      <c r="H64" s="27"/>
      <c r="I64" s="29"/>
      <c r="J64" s="12"/>
      <c r="K64" s="29"/>
      <c r="L64" s="27"/>
      <c r="M64" s="56"/>
      <c r="N64" s="54"/>
      <c r="O64" s="45"/>
      <c r="P64" s="27"/>
      <c r="Q64" s="27"/>
      <c r="R64" s="27"/>
      <c r="S64" s="27"/>
      <c r="T64" s="27"/>
      <c r="U64" s="27"/>
      <c r="V64" s="12">
        <f t="shared" si="14"/>
        <v>0</v>
      </c>
    </row>
    <row r="65" spans="1:23" ht="21" customHeight="1" x14ac:dyDescent="0.45">
      <c r="A65" s="11">
        <v>52</v>
      </c>
      <c r="B65" s="37" t="s">
        <v>531</v>
      </c>
      <c r="C65" s="37" t="s">
        <v>532</v>
      </c>
      <c r="D65" s="48" t="s">
        <v>325</v>
      </c>
      <c r="E65" s="57"/>
      <c r="F65" s="46"/>
      <c r="G65" s="29"/>
      <c r="H65" s="27"/>
      <c r="I65" s="29"/>
      <c r="J65" s="12"/>
      <c r="K65" s="29"/>
      <c r="L65" s="27"/>
      <c r="M65" s="56"/>
      <c r="N65" s="54"/>
      <c r="O65" s="45"/>
      <c r="P65" s="27"/>
      <c r="Q65" s="27"/>
      <c r="R65" s="27"/>
      <c r="S65" s="27"/>
      <c r="T65" s="27"/>
      <c r="U65" s="27"/>
      <c r="V65" s="12">
        <f t="shared" si="14"/>
        <v>0</v>
      </c>
    </row>
    <row r="66" spans="1:23" ht="21" customHeight="1" x14ac:dyDescent="0.45">
      <c r="A66" s="11">
        <v>53</v>
      </c>
      <c r="B66" s="124" t="s">
        <v>357</v>
      </c>
      <c r="C66" s="124" t="s">
        <v>358</v>
      </c>
      <c r="D66" s="8" t="s">
        <v>47</v>
      </c>
      <c r="E66" s="57"/>
      <c r="F66" s="46"/>
      <c r="G66" s="29"/>
      <c r="H66" s="29"/>
      <c r="I66" s="29"/>
      <c r="J66" s="12"/>
      <c r="K66" s="29"/>
      <c r="L66" s="27"/>
      <c r="M66" s="56"/>
      <c r="N66" s="54"/>
      <c r="O66" s="45"/>
      <c r="P66" s="202"/>
      <c r="Q66" s="27"/>
      <c r="R66" s="27"/>
      <c r="S66" s="27"/>
      <c r="T66" s="27"/>
      <c r="U66" s="27"/>
      <c r="V66" s="12">
        <f>E66+F66+G66+H66+I66+J66+K66+L66+M66-N66-O66-P66-Q66-R66-S66-T66-U66</f>
        <v>0</v>
      </c>
    </row>
    <row r="67" spans="1:23" ht="21" customHeight="1" x14ac:dyDescent="0.45">
      <c r="A67" s="11">
        <v>54</v>
      </c>
      <c r="B67" s="25" t="s">
        <v>226</v>
      </c>
      <c r="C67" s="37" t="s">
        <v>398</v>
      </c>
      <c r="D67" s="8" t="s">
        <v>47</v>
      </c>
      <c r="E67" s="57"/>
      <c r="F67" s="46"/>
      <c r="G67" s="29"/>
      <c r="H67" s="29"/>
      <c r="I67" s="29"/>
      <c r="J67" s="12"/>
      <c r="K67" s="29"/>
      <c r="L67" s="27"/>
      <c r="M67" s="56"/>
      <c r="N67" s="54"/>
      <c r="O67" s="45"/>
      <c r="P67" s="27"/>
      <c r="Q67" s="27"/>
      <c r="R67" s="27"/>
      <c r="S67" s="27"/>
      <c r="T67" s="27"/>
      <c r="U67" s="27"/>
      <c r="V67" s="12">
        <f>E67+F67+G67+H67+I67+J67+K67+L67+M67-N67-O67-P67-Q67-R67-S67-T67-U67</f>
        <v>0</v>
      </c>
    </row>
    <row r="68" spans="1:23" ht="21" customHeight="1" x14ac:dyDescent="0.45">
      <c r="A68" s="11">
        <v>55</v>
      </c>
      <c r="B68" s="36" t="s">
        <v>438</v>
      </c>
      <c r="C68" s="7" t="s">
        <v>439</v>
      </c>
      <c r="D68" s="8" t="s">
        <v>47</v>
      </c>
      <c r="E68" s="57"/>
      <c r="F68" s="46"/>
      <c r="G68" s="29"/>
      <c r="H68" s="29"/>
      <c r="I68" s="29"/>
      <c r="J68" s="12"/>
      <c r="K68" s="29"/>
      <c r="L68" s="27"/>
      <c r="M68" s="56"/>
      <c r="N68" s="54"/>
      <c r="O68" s="45"/>
      <c r="P68" s="27"/>
      <c r="Q68" s="27"/>
      <c r="R68" s="27"/>
      <c r="S68" s="27"/>
      <c r="T68" s="27"/>
      <c r="U68" s="27"/>
      <c r="V68" s="12">
        <f t="shared" ref="V68:V72" si="15">E68+F68+G68+H68+I68+J68+K68+L68+M68-N68-O68-P68-Q68-R68-S68-T68-U68</f>
        <v>0</v>
      </c>
    </row>
    <row r="69" spans="1:23" ht="21" customHeight="1" x14ac:dyDescent="0.45">
      <c r="A69" s="11">
        <v>56</v>
      </c>
      <c r="B69" s="43" t="s">
        <v>545</v>
      </c>
      <c r="C69" s="43" t="s">
        <v>546</v>
      </c>
      <c r="D69" s="48" t="s">
        <v>325</v>
      </c>
      <c r="E69" s="57"/>
      <c r="F69" s="46"/>
      <c r="G69" s="29"/>
      <c r="H69" s="29"/>
      <c r="I69" s="29"/>
      <c r="J69" s="12"/>
      <c r="K69" s="29"/>
      <c r="L69" s="27"/>
      <c r="M69" s="56"/>
      <c r="N69" s="54"/>
      <c r="O69" s="45"/>
      <c r="P69" s="27"/>
      <c r="Q69" s="27"/>
      <c r="R69" s="27"/>
      <c r="S69" s="27"/>
      <c r="T69" s="27"/>
      <c r="U69" s="27"/>
      <c r="V69" s="12">
        <f t="shared" si="15"/>
        <v>0</v>
      </c>
    </row>
    <row r="70" spans="1:23" ht="21" customHeight="1" x14ac:dyDescent="0.45">
      <c r="A70" s="11">
        <v>57</v>
      </c>
      <c r="B70" s="43" t="s">
        <v>562</v>
      </c>
      <c r="C70" s="43" t="s">
        <v>563</v>
      </c>
      <c r="D70" s="8" t="s">
        <v>46</v>
      </c>
      <c r="E70" s="57"/>
      <c r="F70" s="46"/>
      <c r="G70" s="29"/>
      <c r="H70" s="29"/>
      <c r="I70" s="29"/>
      <c r="J70" s="12"/>
      <c r="K70" s="29"/>
      <c r="L70" s="27"/>
      <c r="M70" s="56"/>
      <c r="N70" s="54"/>
      <c r="O70" s="45"/>
      <c r="P70" s="27"/>
      <c r="Q70" s="27"/>
      <c r="R70" s="27"/>
      <c r="S70" s="27"/>
      <c r="T70" s="27"/>
      <c r="U70" s="27"/>
      <c r="V70" s="12">
        <f t="shared" si="15"/>
        <v>0</v>
      </c>
    </row>
    <row r="71" spans="1:23" ht="21" customHeight="1" x14ac:dyDescent="0.45">
      <c r="A71" s="11">
        <v>58</v>
      </c>
      <c r="B71" s="43" t="s">
        <v>584</v>
      </c>
      <c r="C71" s="43" t="s">
        <v>585</v>
      </c>
      <c r="D71" s="8" t="s">
        <v>46</v>
      </c>
      <c r="E71" s="57"/>
      <c r="F71" s="46"/>
      <c r="G71" s="29"/>
      <c r="H71" s="29"/>
      <c r="I71" s="29"/>
      <c r="J71" s="12"/>
      <c r="K71" s="29"/>
      <c r="L71" s="27"/>
      <c r="M71" s="56"/>
      <c r="N71" s="54"/>
      <c r="O71" s="45"/>
      <c r="P71" s="27"/>
      <c r="Q71" s="27"/>
      <c r="R71" s="27"/>
      <c r="S71" s="27"/>
      <c r="T71" s="27"/>
      <c r="U71" s="27"/>
      <c r="V71" s="12">
        <f t="shared" si="15"/>
        <v>0</v>
      </c>
    </row>
    <row r="72" spans="1:23" ht="21" customHeight="1" x14ac:dyDescent="0.45">
      <c r="A72" s="11">
        <v>59</v>
      </c>
      <c r="B72" s="43" t="s">
        <v>586</v>
      </c>
      <c r="C72" s="43" t="s">
        <v>587</v>
      </c>
      <c r="D72" s="8" t="s">
        <v>46</v>
      </c>
      <c r="E72" s="57"/>
      <c r="F72" s="46"/>
      <c r="G72" s="29"/>
      <c r="H72" s="29"/>
      <c r="I72" s="29"/>
      <c r="J72" s="12"/>
      <c r="K72" s="29"/>
      <c r="L72" s="27"/>
      <c r="M72" s="56"/>
      <c r="N72" s="54"/>
      <c r="O72" s="45"/>
      <c r="P72" s="27"/>
      <c r="Q72" s="27"/>
      <c r="R72" s="27"/>
      <c r="S72" s="27"/>
      <c r="T72" s="27"/>
      <c r="U72" s="27"/>
      <c r="V72" s="12">
        <f t="shared" si="15"/>
        <v>0</v>
      </c>
    </row>
    <row r="73" spans="1:23" ht="21" customHeight="1" x14ac:dyDescent="0.45">
      <c r="A73" s="11"/>
      <c r="B73" s="43"/>
      <c r="C73" s="43"/>
      <c r="D73" s="8"/>
      <c r="E73" s="57"/>
      <c r="F73" s="46"/>
      <c r="G73" s="29"/>
      <c r="H73" s="29"/>
      <c r="I73" s="29"/>
      <c r="J73" s="12"/>
      <c r="K73" s="29"/>
      <c r="L73" s="27"/>
      <c r="M73" s="56"/>
      <c r="N73" s="54"/>
      <c r="O73" s="45"/>
      <c r="P73" s="27"/>
      <c r="Q73" s="27"/>
      <c r="R73" s="27"/>
      <c r="S73" s="27"/>
      <c r="T73" s="27"/>
      <c r="U73" s="27"/>
      <c r="V73" s="12"/>
    </row>
    <row r="74" spans="1:23" ht="21" customHeight="1" x14ac:dyDescent="0.45">
      <c r="A74" s="11"/>
      <c r="B74" s="43"/>
      <c r="C74" s="43"/>
      <c r="D74" s="8"/>
      <c r="E74" s="57"/>
      <c r="F74" s="46"/>
      <c r="G74" s="29"/>
      <c r="H74" s="29"/>
      <c r="I74" s="29"/>
      <c r="J74" s="12"/>
      <c r="K74" s="29"/>
      <c r="L74" s="27"/>
      <c r="M74" s="56"/>
      <c r="N74" s="54"/>
      <c r="O74" s="45"/>
      <c r="P74" s="27"/>
      <c r="Q74" s="27"/>
      <c r="R74" s="27"/>
      <c r="S74" s="27"/>
      <c r="T74" s="27"/>
      <c r="U74" s="27"/>
      <c r="V74" s="12"/>
    </row>
    <row r="75" spans="1:23" ht="21" customHeight="1" x14ac:dyDescent="0.45">
      <c r="A75" s="253" t="s">
        <v>58</v>
      </c>
      <c r="B75" s="278"/>
      <c r="C75" s="278"/>
      <c r="D75" s="278"/>
      <c r="E75" s="13">
        <f>SUM(E62:E74)</f>
        <v>0</v>
      </c>
      <c r="F75" s="13">
        <f t="shared" ref="F75:U75" si="16">SUM(F62:F74)</f>
        <v>0</v>
      </c>
      <c r="G75" s="13">
        <f t="shared" si="16"/>
        <v>200</v>
      </c>
      <c r="H75" s="13">
        <f t="shared" si="16"/>
        <v>0</v>
      </c>
      <c r="I75" s="13">
        <f t="shared" si="16"/>
        <v>0</v>
      </c>
      <c r="J75" s="13">
        <f t="shared" si="16"/>
        <v>0</v>
      </c>
      <c r="K75" s="13">
        <f t="shared" si="16"/>
        <v>20</v>
      </c>
      <c r="L75" s="13">
        <f t="shared" si="16"/>
        <v>0</v>
      </c>
      <c r="M75" s="229">
        <f t="shared" si="16"/>
        <v>0</v>
      </c>
      <c r="N75" s="230">
        <f t="shared" si="16"/>
        <v>0</v>
      </c>
      <c r="O75" s="31">
        <f t="shared" si="16"/>
        <v>0</v>
      </c>
      <c r="P75" s="31">
        <f t="shared" si="16"/>
        <v>0</v>
      </c>
      <c r="Q75" s="31">
        <f t="shared" si="16"/>
        <v>0</v>
      </c>
      <c r="R75" s="182">
        <f t="shared" si="16"/>
        <v>0</v>
      </c>
      <c r="S75" s="31">
        <f t="shared" si="16"/>
        <v>10</v>
      </c>
      <c r="T75" s="31">
        <f t="shared" si="16"/>
        <v>0</v>
      </c>
      <c r="U75" s="31">
        <f t="shared" si="16"/>
        <v>0</v>
      </c>
      <c r="V75" s="231">
        <f>SUM(V62:V74)</f>
        <v>210</v>
      </c>
    </row>
    <row r="78" spans="1:23" x14ac:dyDescent="0.45">
      <c r="W78" s="50"/>
    </row>
    <row r="79" spans="1:23" x14ac:dyDescent="0.45">
      <c r="W79" s="34"/>
    </row>
    <row r="80" spans="1:23" x14ac:dyDescent="0.45">
      <c r="W80" s="34"/>
    </row>
    <row r="81" spans="23:23" x14ac:dyDescent="0.45">
      <c r="W81" s="34"/>
    </row>
    <row r="82" spans="23:23" x14ac:dyDescent="0.45">
      <c r="W82" s="50"/>
    </row>
    <row r="83" spans="23:23" x14ac:dyDescent="0.45">
      <c r="W83" s="34"/>
    </row>
    <row r="84" spans="23:23" x14ac:dyDescent="0.45">
      <c r="W84" s="34"/>
    </row>
  </sheetData>
  <mergeCells count="32">
    <mergeCell ref="A75:D75"/>
    <mergeCell ref="A43:D43"/>
    <mergeCell ref="A44:D44"/>
    <mergeCell ref="G4:G7"/>
    <mergeCell ref="E4:E7"/>
    <mergeCell ref="A25:D25"/>
    <mergeCell ref="A26:D26"/>
    <mergeCell ref="F4:F7"/>
    <mergeCell ref="A61:D61"/>
    <mergeCell ref="A62:D62"/>
    <mergeCell ref="P4:P7"/>
    <mergeCell ref="J4:J7"/>
    <mergeCell ref="L4:L7"/>
    <mergeCell ref="M4:M7"/>
    <mergeCell ref="O4:O7"/>
    <mergeCell ref="K4:K7"/>
    <mergeCell ref="H4:H7"/>
    <mergeCell ref="A1:V1"/>
    <mergeCell ref="D3:M3"/>
    <mergeCell ref="A3:A7"/>
    <mergeCell ref="B3:C7"/>
    <mergeCell ref="D4:D7"/>
    <mergeCell ref="A2:V2"/>
    <mergeCell ref="V4:V7"/>
    <mergeCell ref="S4:S7"/>
    <mergeCell ref="R4:R7"/>
    <mergeCell ref="T4:T7"/>
    <mergeCell ref="U4:U7"/>
    <mergeCell ref="N4:N7"/>
    <mergeCell ref="N3:V3"/>
    <mergeCell ref="Q4:Q7"/>
    <mergeCell ref="I4:I7"/>
  </mergeCells>
  <phoneticPr fontId="20" type="noConversion"/>
  <pageMargins left="0.39370078740157483" right="0" top="0.59055118110236227" bottom="0.39370078740157483" header="0.31496062992125984" footer="0.31496062992125984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Y23"/>
  <sheetViews>
    <sheetView zoomScale="90" zoomScaleNormal="90" workbookViewId="0">
      <pane xSplit="3" ySplit="7" topLeftCell="D17" activePane="bottomRight" state="frozen"/>
      <selection pane="topRight" activeCell="D1" sqref="D1"/>
      <selection pane="bottomLeft" activeCell="A8" sqref="A8"/>
      <selection pane="bottomRight" activeCell="I9" sqref="I9"/>
    </sheetView>
  </sheetViews>
  <sheetFormatPr defaultColWidth="9" defaultRowHeight="21" x14ac:dyDescent="0.45"/>
  <cols>
    <col min="1" max="1" width="3" style="9" customWidth="1"/>
    <col min="2" max="2" width="11" style="3" customWidth="1"/>
    <col min="3" max="3" width="10.875" style="3" customWidth="1"/>
    <col min="4" max="4" width="15.375" style="3" customWidth="1"/>
    <col min="5" max="5" width="4.25" style="3" bestFit="1" customWidth="1"/>
    <col min="6" max="6" width="4" style="3" customWidth="1"/>
    <col min="7" max="7" width="5.625" style="3" customWidth="1"/>
    <col min="8" max="8" width="4.25" style="3" customWidth="1"/>
    <col min="9" max="10" width="8.625" style="3" customWidth="1"/>
    <col min="11" max="11" width="9.625" style="3" customWidth="1"/>
    <col min="12" max="13" width="7.625" style="3" customWidth="1"/>
    <col min="14" max="14" width="4.125" style="3" customWidth="1"/>
    <col min="15" max="15" width="4.625" style="3" customWidth="1"/>
    <col min="16" max="16" width="7.625" style="3" customWidth="1"/>
    <col min="17" max="17" width="7.625" style="34" customWidth="1"/>
    <col min="18" max="18" width="4.625" style="3" customWidth="1"/>
    <col min="19" max="19" width="4.375" style="3" customWidth="1"/>
    <col min="20" max="21" width="5.625" style="3" customWidth="1"/>
    <col min="22" max="22" width="9.125" style="3" bestFit="1" customWidth="1"/>
    <col min="23" max="16384" width="9" style="3"/>
  </cols>
  <sheetData>
    <row r="1" spans="1:25" s="4" customFormat="1" ht="23.25" x14ac:dyDescent="0.5">
      <c r="A1" s="251" t="s">
        <v>68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1"/>
      <c r="X1" s="1"/>
      <c r="Y1" s="1"/>
    </row>
    <row r="2" spans="1:25" s="4" customFormat="1" ht="23.25" x14ac:dyDescent="0.5">
      <c r="A2" s="263" t="str">
        <f>[1]ข้าราชการ!A2</f>
        <v>ประจำเดือนพฤศจิกายน  2568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</row>
    <row r="3" spans="1:25" x14ac:dyDescent="0.45">
      <c r="A3" s="254" t="s">
        <v>8</v>
      </c>
      <c r="B3" s="257" t="s">
        <v>1</v>
      </c>
      <c r="C3" s="258"/>
      <c r="D3" s="252" t="s">
        <v>9</v>
      </c>
      <c r="E3" s="252"/>
      <c r="F3" s="252"/>
      <c r="G3" s="252"/>
      <c r="H3" s="252"/>
      <c r="I3" s="252"/>
      <c r="J3" s="252"/>
      <c r="K3" s="252"/>
      <c r="L3" s="252"/>
      <c r="M3" s="253"/>
      <c r="N3" s="267" t="s">
        <v>10</v>
      </c>
      <c r="O3" s="252"/>
      <c r="P3" s="252"/>
      <c r="Q3" s="252"/>
      <c r="R3" s="252"/>
      <c r="S3" s="252"/>
      <c r="T3" s="252"/>
      <c r="U3" s="252"/>
      <c r="V3" s="252"/>
    </row>
    <row r="4" spans="1:25" ht="21" customHeight="1" x14ac:dyDescent="0.45">
      <c r="A4" s="255"/>
      <c r="B4" s="259"/>
      <c r="C4" s="260"/>
      <c r="D4" s="254" t="s">
        <v>2</v>
      </c>
      <c r="E4" s="283" t="s">
        <v>3</v>
      </c>
      <c r="F4" s="283" t="s">
        <v>4</v>
      </c>
      <c r="G4" s="284" t="s">
        <v>108</v>
      </c>
      <c r="H4" s="283" t="s">
        <v>105</v>
      </c>
      <c r="I4" s="248" t="s">
        <v>630</v>
      </c>
      <c r="J4" s="268" t="s">
        <v>631</v>
      </c>
      <c r="K4" s="248" t="s">
        <v>5</v>
      </c>
      <c r="L4" s="283" t="s">
        <v>6</v>
      </c>
      <c r="M4" s="287" t="s">
        <v>7</v>
      </c>
      <c r="N4" s="266" t="s">
        <v>52</v>
      </c>
      <c r="O4" s="264" t="s">
        <v>115</v>
      </c>
      <c r="P4" s="264" t="s">
        <v>54</v>
      </c>
      <c r="Q4" s="265" t="s">
        <v>214</v>
      </c>
      <c r="R4" s="264" t="s">
        <v>55</v>
      </c>
      <c r="S4" s="264" t="s">
        <v>137</v>
      </c>
      <c r="T4" s="264" t="s">
        <v>56</v>
      </c>
      <c r="U4" s="264" t="s">
        <v>57</v>
      </c>
      <c r="V4" s="264" t="s">
        <v>59</v>
      </c>
    </row>
    <row r="5" spans="1:25" ht="21" customHeight="1" x14ac:dyDescent="0.45">
      <c r="A5" s="255"/>
      <c r="B5" s="259"/>
      <c r="C5" s="260"/>
      <c r="D5" s="255"/>
      <c r="E5" s="281"/>
      <c r="F5" s="281"/>
      <c r="G5" s="285"/>
      <c r="H5" s="281"/>
      <c r="I5" s="249"/>
      <c r="J5" s="269"/>
      <c r="K5" s="249"/>
      <c r="L5" s="281"/>
      <c r="M5" s="288"/>
      <c r="N5" s="266"/>
      <c r="O5" s="264"/>
      <c r="P5" s="264"/>
      <c r="Q5" s="265"/>
      <c r="R5" s="264"/>
      <c r="S5" s="264"/>
      <c r="T5" s="264"/>
      <c r="U5" s="264"/>
      <c r="V5" s="264"/>
    </row>
    <row r="6" spans="1:25" ht="21" customHeight="1" x14ac:dyDescent="0.45">
      <c r="A6" s="255"/>
      <c r="B6" s="259"/>
      <c r="C6" s="260"/>
      <c r="D6" s="255"/>
      <c r="E6" s="281"/>
      <c r="F6" s="281"/>
      <c r="G6" s="285"/>
      <c r="H6" s="281"/>
      <c r="I6" s="249"/>
      <c r="J6" s="269"/>
      <c r="K6" s="249"/>
      <c r="L6" s="281"/>
      <c r="M6" s="288"/>
      <c r="N6" s="266"/>
      <c r="O6" s="264"/>
      <c r="P6" s="264"/>
      <c r="Q6" s="265"/>
      <c r="R6" s="264"/>
      <c r="S6" s="264"/>
      <c r="T6" s="264"/>
      <c r="U6" s="264"/>
      <c r="V6" s="264"/>
    </row>
    <row r="7" spans="1:25" ht="21" customHeight="1" x14ac:dyDescent="0.45">
      <c r="A7" s="256"/>
      <c r="B7" s="261"/>
      <c r="C7" s="262"/>
      <c r="D7" s="256"/>
      <c r="E7" s="282"/>
      <c r="F7" s="282"/>
      <c r="G7" s="286"/>
      <c r="H7" s="282"/>
      <c r="I7" s="250"/>
      <c r="J7" s="270"/>
      <c r="K7" s="250"/>
      <c r="L7" s="282"/>
      <c r="M7" s="289"/>
      <c r="N7" s="266"/>
      <c r="O7" s="264"/>
      <c r="P7" s="264"/>
      <c r="Q7" s="265"/>
      <c r="R7" s="264"/>
      <c r="S7" s="264"/>
      <c r="T7" s="264"/>
      <c r="U7" s="264"/>
      <c r="V7" s="264"/>
    </row>
    <row r="8" spans="1:25" ht="21" customHeight="1" x14ac:dyDescent="0.45">
      <c r="A8" s="11">
        <v>1</v>
      </c>
      <c r="B8" s="17" t="s">
        <v>62</v>
      </c>
      <c r="C8" s="18" t="s">
        <v>63</v>
      </c>
      <c r="D8" s="16" t="s">
        <v>166</v>
      </c>
      <c r="E8" s="44"/>
      <c r="F8" s="40"/>
      <c r="G8" s="26"/>
      <c r="H8" s="8"/>
      <c r="I8" s="12">
        <v>10</v>
      </c>
      <c r="J8" s="12"/>
      <c r="K8" s="27"/>
      <c r="L8" s="8"/>
      <c r="M8" s="36"/>
      <c r="N8" s="28"/>
      <c r="O8" s="12"/>
      <c r="P8" s="8"/>
      <c r="Q8" s="27"/>
      <c r="R8" s="8"/>
      <c r="S8" s="8"/>
      <c r="T8" s="8"/>
      <c r="U8" s="8"/>
      <c r="V8" s="12">
        <f>E8+F8+G8+H8+I8+J8+K8+L8+M8-N8-O8-P8-Q8-R8-S8-T8-U8</f>
        <v>10</v>
      </c>
    </row>
    <row r="9" spans="1:25" ht="21" customHeight="1" x14ac:dyDescent="0.45">
      <c r="A9" s="11"/>
      <c r="B9" s="17"/>
      <c r="C9" s="18"/>
      <c r="D9" s="16"/>
      <c r="E9" s="44"/>
      <c r="F9" s="40"/>
      <c r="G9" s="29"/>
      <c r="H9" s="8"/>
      <c r="I9" s="12"/>
      <c r="J9" s="12"/>
      <c r="K9" s="27"/>
      <c r="L9" s="8"/>
      <c r="M9" s="56"/>
      <c r="N9" s="28"/>
      <c r="O9" s="12"/>
      <c r="P9" s="27"/>
      <c r="Q9" s="27"/>
      <c r="R9" s="8"/>
      <c r="S9" s="8"/>
      <c r="T9" s="8"/>
      <c r="U9" s="8"/>
      <c r="V9" s="12"/>
    </row>
    <row r="10" spans="1:25" ht="21" customHeight="1" x14ac:dyDescent="0.45">
      <c r="A10" s="11"/>
      <c r="B10" s="17"/>
      <c r="C10" s="18"/>
      <c r="D10" s="16"/>
      <c r="E10" s="44"/>
      <c r="F10" s="41"/>
      <c r="G10" s="29"/>
      <c r="H10" s="8"/>
      <c r="I10" s="12"/>
      <c r="J10" s="12"/>
      <c r="K10" s="27"/>
      <c r="L10" s="27"/>
      <c r="M10" s="36"/>
      <c r="N10" s="28"/>
      <c r="O10" s="12"/>
      <c r="P10" s="29"/>
      <c r="Q10" s="27"/>
      <c r="R10" s="8"/>
      <c r="S10" s="8"/>
      <c r="T10" s="8"/>
      <c r="U10" s="29"/>
      <c r="V10" s="12"/>
    </row>
    <row r="11" spans="1:25" ht="21" customHeight="1" x14ac:dyDescent="0.45">
      <c r="A11" s="11"/>
      <c r="B11" s="55"/>
      <c r="C11" s="55"/>
      <c r="D11" s="16"/>
      <c r="E11" s="44"/>
      <c r="F11" s="41"/>
      <c r="G11" s="29"/>
      <c r="H11" s="8"/>
      <c r="I11" s="27"/>
      <c r="J11" s="12"/>
      <c r="K11" s="27"/>
      <c r="L11" s="27"/>
      <c r="M11" s="36"/>
      <c r="N11" s="28"/>
      <c r="O11" s="12"/>
      <c r="P11" s="29"/>
      <c r="Q11" s="27"/>
      <c r="R11" s="8"/>
      <c r="S11" s="8"/>
      <c r="T11" s="8"/>
      <c r="U11" s="29"/>
      <c r="V11" s="12"/>
    </row>
    <row r="12" spans="1:25" ht="21" customHeight="1" x14ac:dyDescent="0.45">
      <c r="A12" s="11"/>
      <c r="B12" s="55"/>
      <c r="C12" s="55"/>
      <c r="D12" s="16"/>
      <c r="E12" s="44"/>
      <c r="F12" s="41"/>
      <c r="G12" s="29"/>
      <c r="H12" s="8"/>
      <c r="I12" s="27"/>
      <c r="J12" s="12"/>
      <c r="K12" s="27"/>
      <c r="L12" s="27"/>
      <c r="M12" s="36"/>
      <c r="N12" s="28"/>
      <c r="O12" s="12"/>
      <c r="P12" s="29"/>
      <c r="Q12" s="27"/>
      <c r="R12" s="8"/>
      <c r="S12" s="8"/>
      <c r="T12" s="8"/>
      <c r="U12" s="29"/>
      <c r="V12" s="12"/>
    </row>
    <row r="13" spans="1:25" ht="21" customHeight="1" x14ac:dyDescent="0.45">
      <c r="A13" s="11"/>
      <c r="B13" s="55"/>
      <c r="C13" s="55"/>
      <c r="D13" s="16"/>
      <c r="E13" s="44"/>
      <c r="F13" s="41"/>
      <c r="G13" s="29"/>
      <c r="H13" s="8"/>
      <c r="I13" s="27"/>
      <c r="J13" s="12"/>
      <c r="K13" s="27"/>
      <c r="L13" s="27"/>
      <c r="M13" s="36"/>
      <c r="N13" s="28"/>
      <c r="O13" s="12"/>
      <c r="P13" s="29"/>
      <c r="Q13" s="27"/>
      <c r="R13" s="8"/>
      <c r="S13" s="8"/>
      <c r="T13" s="8"/>
      <c r="U13" s="29"/>
      <c r="V13" s="12"/>
    </row>
    <row r="14" spans="1:25" ht="21" customHeight="1" x14ac:dyDescent="0.45">
      <c r="A14" s="11"/>
      <c r="B14" s="55"/>
      <c r="C14" s="55"/>
      <c r="D14" s="16"/>
      <c r="E14" s="44"/>
      <c r="F14" s="41"/>
      <c r="G14" s="29"/>
      <c r="H14" s="8"/>
      <c r="I14" s="27"/>
      <c r="J14" s="12"/>
      <c r="K14" s="27"/>
      <c r="L14" s="27"/>
      <c r="M14" s="36"/>
      <c r="N14" s="28"/>
      <c r="O14" s="12"/>
      <c r="P14" s="29"/>
      <c r="Q14" s="27"/>
      <c r="R14" s="8"/>
      <c r="S14" s="8"/>
      <c r="T14" s="8"/>
      <c r="U14" s="29"/>
      <c r="V14" s="12"/>
    </row>
    <row r="15" spans="1:25" ht="21" customHeight="1" x14ac:dyDescent="0.45">
      <c r="A15" s="11"/>
      <c r="B15" s="55"/>
      <c r="C15" s="55"/>
      <c r="D15" s="16"/>
      <c r="E15" s="44"/>
      <c r="F15" s="41"/>
      <c r="G15" s="29"/>
      <c r="H15" s="8"/>
      <c r="I15" s="27"/>
      <c r="J15" s="12"/>
      <c r="K15" s="27"/>
      <c r="L15" s="27"/>
      <c r="M15" s="36"/>
      <c r="N15" s="28"/>
      <c r="O15" s="12"/>
      <c r="P15" s="29"/>
      <c r="Q15" s="27"/>
      <c r="R15" s="8"/>
      <c r="S15" s="8"/>
      <c r="T15" s="8"/>
      <c r="U15" s="29"/>
      <c r="V15" s="12"/>
    </row>
    <row r="16" spans="1:25" ht="21" customHeight="1" x14ac:dyDescent="0.45">
      <c r="A16" s="11"/>
      <c r="B16" s="55"/>
      <c r="C16" s="55"/>
      <c r="D16" s="16"/>
      <c r="E16" s="44"/>
      <c r="F16" s="41"/>
      <c r="G16" s="29"/>
      <c r="H16" s="8"/>
      <c r="I16" s="27"/>
      <c r="J16" s="12"/>
      <c r="K16" s="27"/>
      <c r="L16" s="27"/>
      <c r="M16" s="36"/>
      <c r="N16" s="28"/>
      <c r="O16" s="12"/>
      <c r="P16" s="29"/>
      <c r="Q16" s="27"/>
      <c r="R16" s="8"/>
      <c r="S16" s="8"/>
      <c r="T16" s="8"/>
      <c r="U16" s="29"/>
      <c r="V16" s="12"/>
    </row>
    <row r="17" spans="1:22" ht="21" customHeight="1" x14ac:dyDescent="0.45">
      <c r="A17" s="11"/>
      <c r="B17" s="55"/>
      <c r="C17" s="55"/>
      <c r="D17" s="16"/>
      <c r="E17" s="44"/>
      <c r="F17" s="41"/>
      <c r="G17" s="29"/>
      <c r="H17" s="8"/>
      <c r="I17" s="27"/>
      <c r="J17" s="12"/>
      <c r="K17" s="27"/>
      <c r="L17" s="27"/>
      <c r="M17" s="36"/>
      <c r="N17" s="28"/>
      <c r="O17" s="12"/>
      <c r="P17" s="29"/>
      <c r="Q17" s="27"/>
      <c r="R17" s="8"/>
      <c r="S17" s="8"/>
      <c r="T17" s="8"/>
      <c r="U17" s="29"/>
      <c r="V17" s="12"/>
    </row>
    <row r="18" spans="1:22" ht="21" customHeight="1" x14ac:dyDescent="0.45">
      <c r="A18" s="11"/>
      <c r="B18" s="55"/>
      <c r="C18" s="55"/>
      <c r="D18" s="16"/>
      <c r="E18" s="44"/>
      <c r="F18" s="41"/>
      <c r="G18" s="29"/>
      <c r="H18" s="8"/>
      <c r="I18" s="27"/>
      <c r="J18" s="12"/>
      <c r="K18" s="27"/>
      <c r="L18" s="27"/>
      <c r="M18" s="36"/>
      <c r="N18" s="28"/>
      <c r="O18" s="12"/>
      <c r="P18" s="29"/>
      <c r="Q18" s="27"/>
      <c r="R18" s="8"/>
      <c r="S18" s="8"/>
      <c r="T18" s="8"/>
      <c r="U18" s="29"/>
      <c r="V18" s="12"/>
    </row>
    <row r="19" spans="1:22" ht="21" customHeight="1" x14ac:dyDescent="0.45">
      <c r="A19" s="11"/>
      <c r="B19" s="55"/>
      <c r="C19" s="55"/>
      <c r="D19" s="16"/>
      <c r="E19" s="44"/>
      <c r="F19" s="41"/>
      <c r="G19" s="29"/>
      <c r="H19" s="8"/>
      <c r="I19" s="27"/>
      <c r="J19" s="12"/>
      <c r="K19" s="27"/>
      <c r="L19" s="27"/>
      <c r="M19" s="36"/>
      <c r="N19" s="28"/>
      <c r="O19" s="12"/>
      <c r="P19" s="29"/>
      <c r="Q19" s="27"/>
      <c r="R19" s="8"/>
      <c r="S19" s="8"/>
      <c r="T19" s="8"/>
      <c r="U19" s="29"/>
      <c r="V19" s="12"/>
    </row>
    <row r="20" spans="1:22" ht="21" customHeight="1" x14ac:dyDescent="0.45">
      <c r="A20" s="11"/>
      <c r="B20" s="55"/>
      <c r="C20" s="55"/>
      <c r="D20" s="16"/>
      <c r="E20" s="44"/>
      <c r="F20" s="41"/>
      <c r="G20" s="29"/>
      <c r="H20" s="8"/>
      <c r="I20" s="27"/>
      <c r="J20" s="12"/>
      <c r="K20" s="27"/>
      <c r="L20" s="27"/>
      <c r="M20" s="36"/>
      <c r="N20" s="28"/>
      <c r="O20" s="12"/>
      <c r="P20" s="29"/>
      <c r="Q20" s="27"/>
      <c r="R20" s="8"/>
      <c r="S20" s="8"/>
      <c r="T20" s="8"/>
      <c r="U20" s="29"/>
      <c r="V20" s="12"/>
    </row>
    <row r="21" spans="1:22" ht="21" customHeight="1" x14ac:dyDescent="0.45">
      <c r="A21" s="11"/>
      <c r="B21" s="55"/>
      <c r="C21" s="55"/>
      <c r="D21" s="16"/>
      <c r="E21" s="44"/>
      <c r="F21" s="41"/>
      <c r="G21" s="29"/>
      <c r="H21" s="8"/>
      <c r="I21" s="27"/>
      <c r="J21" s="12"/>
      <c r="K21" s="27"/>
      <c r="L21" s="27"/>
      <c r="M21" s="36"/>
      <c r="N21" s="28"/>
      <c r="O21" s="12"/>
      <c r="P21" s="29"/>
      <c r="Q21" s="27"/>
      <c r="R21" s="8"/>
      <c r="S21" s="8"/>
      <c r="T21" s="8"/>
      <c r="U21" s="29"/>
      <c r="V21" s="12"/>
    </row>
    <row r="22" spans="1:22" ht="21" customHeight="1" x14ac:dyDescent="0.45">
      <c r="A22" s="11"/>
      <c r="B22" s="55"/>
      <c r="C22" s="55"/>
      <c r="D22" s="16"/>
      <c r="E22" s="44"/>
      <c r="F22" s="41"/>
      <c r="G22" s="29"/>
      <c r="H22" s="8"/>
      <c r="I22" s="27"/>
      <c r="J22" s="12"/>
      <c r="K22" s="27"/>
      <c r="L22" s="27"/>
      <c r="M22" s="36"/>
      <c r="N22" s="28"/>
      <c r="O22" s="12"/>
      <c r="P22" s="29"/>
      <c r="Q22" s="27"/>
      <c r="R22" s="8"/>
      <c r="S22" s="8"/>
      <c r="T22" s="8"/>
      <c r="U22" s="29"/>
      <c r="V22" s="12"/>
    </row>
    <row r="23" spans="1:22" s="14" customFormat="1" x14ac:dyDescent="0.45">
      <c r="A23" s="253" t="s">
        <v>58</v>
      </c>
      <c r="B23" s="278"/>
      <c r="C23" s="278"/>
      <c r="D23" s="278"/>
      <c r="E23" s="30">
        <f>SUM(E8:E10)</f>
        <v>0</v>
      </c>
      <c r="F23" s="38">
        <f>SUM(F8:F10)</f>
        <v>0</v>
      </c>
      <c r="G23" s="38">
        <f>SUM(G8:G10)</f>
        <v>0</v>
      </c>
      <c r="H23" s="38">
        <f>SUM(H8:H10)</f>
        <v>0</v>
      </c>
      <c r="I23" s="33">
        <f>SUM(I8:I11)</f>
        <v>10</v>
      </c>
      <c r="J23" s="30">
        <f>SUM(J8:J15)</f>
        <v>0</v>
      </c>
      <c r="K23" s="30">
        <f>SUM(K8:K15)</f>
        <v>0</v>
      </c>
      <c r="L23" s="30">
        <f>SUM(L8:L15)</f>
        <v>0</v>
      </c>
      <c r="M23" s="42">
        <f>SUM(M8:M15)</f>
        <v>0</v>
      </c>
      <c r="N23" s="32">
        <f>SUM(N8:N10)</f>
        <v>0</v>
      </c>
      <c r="O23" s="30">
        <f>SUM(O8:O10)</f>
        <v>0</v>
      </c>
      <c r="P23" s="31">
        <f>SUM(P8:P10)</f>
        <v>0</v>
      </c>
      <c r="Q23" s="33">
        <f>SUM(Q8:Q10)</f>
        <v>0</v>
      </c>
      <c r="R23" s="30">
        <f>SUM(R8:R10)</f>
        <v>0</v>
      </c>
      <c r="S23" s="30"/>
      <c r="T23" s="30">
        <f>SUM(T8:T10)</f>
        <v>0</v>
      </c>
      <c r="U23" s="33">
        <f>SUM(U8:U10)</f>
        <v>0</v>
      </c>
      <c r="V23" s="35">
        <f>SUM(V8:V16)</f>
        <v>10</v>
      </c>
    </row>
  </sheetData>
  <mergeCells count="26">
    <mergeCell ref="A1:V1"/>
    <mergeCell ref="A2:V2"/>
    <mergeCell ref="T4:T7"/>
    <mergeCell ref="U4:U7"/>
    <mergeCell ref="V4:V7"/>
    <mergeCell ref="M4:M7"/>
    <mergeCell ref="N4:N7"/>
    <mergeCell ref="O4:O7"/>
    <mergeCell ref="P4:P7"/>
    <mergeCell ref="S4:S7"/>
    <mergeCell ref="A3:A7"/>
    <mergeCell ref="B3:C7"/>
    <mergeCell ref="D3:M3"/>
    <mergeCell ref="Q4:Q7"/>
    <mergeCell ref="R4:R7"/>
    <mergeCell ref="A23:D23"/>
    <mergeCell ref="H4:H7"/>
    <mergeCell ref="N3:V3"/>
    <mergeCell ref="D4:D7"/>
    <mergeCell ref="E4:E7"/>
    <mergeCell ref="F4:F7"/>
    <mergeCell ref="G4:G7"/>
    <mergeCell ref="L4:L7"/>
    <mergeCell ref="I4:I7"/>
    <mergeCell ref="J4:J7"/>
    <mergeCell ref="K4:K7"/>
  </mergeCells>
  <phoneticPr fontId="20" type="noConversion"/>
  <pageMargins left="0.39370078740157483" right="0" top="0.59055118110236227" bottom="0.39370078740157483" header="0.31496062992125984" footer="0.31496062992125984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8EEF"/>
  </sheetPr>
  <dimension ref="A1:Y24"/>
  <sheetViews>
    <sheetView zoomScale="90" zoomScaleNormal="90" workbookViewId="0">
      <pane xSplit="3" ySplit="7" topLeftCell="D23" activePane="bottomRight" state="frozen"/>
      <selection pane="topRight" activeCell="D1" sqref="D1"/>
      <selection pane="bottomLeft" activeCell="A8" sqref="A8"/>
      <selection pane="bottomRight" activeCell="O8" sqref="O8"/>
    </sheetView>
  </sheetViews>
  <sheetFormatPr defaultColWidth="9" defaultRowHeight="21" x14ac:dyDescent="0.45"/>
  <cols>
    <col min="1" max="1" width="3" style="9" customWidth="1"/>
    <col min="2" max="2" width="11" style="3" customWidth="1"/>
    <col min="3" max="3" width="10.875" style="3" customWidth="1"/>
    <col min="4" max="4" width="15.375" style="3" customWidth="1"/>
    <col min="5" max="5" width="4.875" style="3" customWidth="1"/>
    <col min="6" max="6" width="4.625" style="3" customWidth="1"/>
    <col min="7" max="7" width="8.625" style="3" customWidth="1"/>
    <col min="8" max="8" width="5.625" style="3" customWidth="1"/>
    <col min="9" max="9" width="8.625" style="34" customWidth="1"/>
    <col min="10" max="10" width="8.625" style="3" customWidth="1"/>
    <col min="11" max="11" width="5.625" style="3" customWidth="1"/>
    <col min="12" max="13" width="4.625" style="3" customWidth="1"/>
    <col min="14" max="15" width="4.125" style="3" customWidth="1"/>
    <col min="16" max="16" width="7.875" style="3" customWidth="1"/>
    <col min="17" max="17" width="6.875" style="3" customWidth="1"/>
    <col min="18" max="19" width="7.625" style="3" customWidth="1"/>
    <col min="20" max="21" width="5.625" style="3" customWidth="1"/>
    <col min="22" max="22" width="11.875" style="3" customWidth="1"/>
    <col min="23" max="16384" width="9" style="3"/>
  </cols>
  <sheetData>
    <row r="1" spans="1:25" ht="23.25" x14ac:dyDescent="0.5">
      <c r="A1" s="251" t="s">
        <v>69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"/>
      <c r="X1" s="2"/>
      <c r="Y1" s="2"/>
    </row>
    <row r="2" spans="1:25" ht="23.25" x14ac:dyDescent="0.5">
      <c r="A2" s="263" t="str">
        <f>[1]ข้าราชการ!A2</f>
        <v>ประจำเดือนพฤศจิกายน  2568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</row>
    <row r="3" spans="1:25" x14ac:dyDescent="0.45">
      <c r="A3" s="254" t="s">
        <v>8</v>
      </c>
      <c r="B3" s="257" t="s">
        <v>1</v>
      </c>
      <c r="C3" s="258"/>
      <c r="D3" s="252" t="s">
        <v>9</v>
      </c>
      <c r="E3" s="252"/>
      <c r="F3" s="252"/>
      <c r="G3" s="252"/>
      <c r="H3" s="252"/>
      <c r="I3" s="252"/>
      <c r="J3" s="252"/>
      <c r="K3" s="252"/>
      <c r="L3" s="252"/>
      <c r="M3" s="253"/>
      <c r="N3" s="267" t="s">
        <v>10</v>
      </c>
      <c r="O3" s="252"/>
      <c r="P3" s="252"/>
      <c r="Q3" s="252"/>
      <c r="R3" s="252"/>
      <c r="S3" s="252"/>
      <c r="T3" s="252"/>
      <c r="U3" s="252"/>
      <c r="V3" s="252"/>
    </row>
    <row r="4" spans="1:25" ht="21" customHeight="1" x14ac:dyDescent="0.45">
      <c r="A4" s="255"/>
      <c r="B4" s="259"/>
      <c r="C4" s="260"/>
      <c r="D4" s="254" t="s">
        <v>2</v>
      </c>
      <c r="E4" s="283" t="s">
        <v>3</v>
      </c>
      <c r="F4" s="283" t="s">
        <v>4</v>
      </c>
      <c r="G4" s="290" t="s">
        <v>107</v>
      </c>
      <c r="H4" s="280" t="s">
        <v>130</v>
      </c>
      <c r="I4" s="248" t="s">
        <v>630</v>
      </c>
      <c r="J4" s="268" t="s">
        <v>631</v>
      </c>
      <c r="K4" s="248" t="s">
        <v>5</v>
      </c>
      <c r="L4" s="283" t="s">
        <v>6</v>
      </c>
      <c r="M4" s="287" t="s">
        <v>7</v>
      </c>
      <c r="N4" s="266" t="s">
        <v>52</v>
      </c>
      <c r="O4" s="264" t="s">
        <v>109</v>
      </c>
      <c r="P4" s="264" t="s">
        <v>54</v>
      </c>
      <c r="Q4" s="265" t="s">
        <v>214</v>
      </c>
      <c r="R4" s="264" t="s">
        <v>55</v>
      </c>
      <c r="S4" s="264" t="s">
        <v>377</v>
      </c>
      <c r="T4" s="264" t="s">
        <v>56</v>
      </c>
      <c r="U4" s="264" t="s">
        <v>57</v>
      </c>
      <c r="V4" s="264" t="s">
        <v>59</v>
      </c>
    </row>
    <row r="5" spans="1:25" ht="21" customHeight="1" x14ac:dyDescent="0.45">
      <c r="A5" s="255"/>
      <c r="B5" s="259"/>
      <c r="C5" s="260"/>
      <c r="D5" s="255"/>
      <c r="E5" s="281"/>
      <c r="F5" s="281"/>
      <c r="G5" s="291"/>
      <c r="H5" s="281"/>
      <c r="I5" s="249"/>
      <c r="J5" s="269"/>
      <c r="K5" s="249"/>
      <c r="L5" s="281"/>
      <c r="M5" s="288"/>
      <c r="N5" s="266"/>
      <c r="O5" s="264"/>
      <c r="P5" s="264"/>
      <c r="Q5" s="265"/>
      <c r="R5" s="264"/>
      <c r="S5" s="264"/>
      <c r="T5" s="264"/>
      <c r="U5" s="264"/>
      <c r="V5" s="264"/>
    </row>
    <row r="6" spans="1:25" ht="21" customHeight="1" x14ac:dyDescent="0.45">
      <c r="A6" s="255"/>
      <c r="B6" s="259"/>
      <c r="C6" s="260"/>
      <c r="D6" s="255"/>
      <c r="E6" s="281"/>
      <c r="F6" s="281"/>
      <c r="G6" s="291"/>
      <c r="H6" s="281"/>
      <c r="I6" s="249"/>
      <c r="J6" s="269"/>
      <c r="K6" s="249"/>
      <c r="L6" s="281"/>
      <c r="M6" s="288"/>
      <c r="N6" s="266"/>
      <c r="O6" s="264"/>
      <c r="P6" s="264"/>
      <c r="Q6" s="265"/>
      <c r="R6" s="264"/>
      <c r="S6" s="264"/>
      <c r="T6" s="264"/>
      <c r="U6" s="264"/>
      <c r="V6" s="264"/>
    </row>
    <row r="7" spans="1:25" ht="21" customHeight="1" x14ac:dyDescent="0.45">
      <c r="A7" s="256"/>
      <c r="B7" s="261"/>
      <c r="C7" s="262"/>
      <c r="D7" s="256"/>
      <c r="E7" s="282"/>
      <c r="F7" s="282"/>
      <c r="G7" s="292"/>
      <c r="H7" s="282"/>
      <c r="I7" s="250"/>
      <c r="J7" s="270"/>
      <c r="K7" s="250"/>
      <c r="L7" s="282"/>
      <c r="M7" s="289"/>
      <c r="N7" s="266"/>
      <c r="O7" s="264"/>
      <c r="P7" s="264"/>
      <c r="Q7" s="265"/>
      <c r="R7" s="264"/>
      <c r="S7" s="264"/>
      <c r="T7" s="264"/>
      <c r="U7" s="264"/>
      <c r="V7" s="264"/>
    </row>
    <row r="8" spans="1:25" ht="21" customHeight="1" x14ac:dyDescent="0.45">
      <c r="A8" s="11">
        <v>1</v>
      </c>
      <c r="B8" s="20" t="s">
        <v>66</v>
      </c>
      <c r="C8" s="21" t="s">
        <v>67</v>
      </c>
      <c r="D8" s="19" t="s">
        <v>70</v>
      </c>
      <c r="E8" s="62"/>
      <c r="F8" s="40"/>
      <c r="G8" s="26"/>
      <c r="H8" s="8"/>
      <c r="I8" s="29">
        <v>2</v>
      </c>
      <c r="J8" s="27">
        <v>3</v>
      </c>
      <c r="K8" s="27"/>
      <c r="L8" s="8"/>
      <c r="M8" s="36"/>
      <c r="N8" s="28"/>
      <c r="O8" s="12"/>
      <c r="P8" s="29"/>
      <c r="Q8" s="29"/>
      <c r="R8" s="26"/>
      <c r="S8" s="8"/>
      <c r="T8" s="8"/>
      <c r="U8" s="8"/>
      <c r="V8" s="12">
        <f>E8+F8+G8+H8+I8+J8+K8+L8+M8-N8-O8-P8-Q8-R8-S8-T8-U8</f>
        <v>5</v>
      </c>
    </row>
    <row r="9" spans="1:25" ht="21" customHeight="1" x14ac:dyDescent="0.45">
      <c r="A9" s="11">
        <v>2</v>
      </c>
      <c r="B9" s="20" t="s">
        <v>286</v>
      </c>
      <c r="C9" s="21" t="s">
        <v>287</v>
      </c>
      <c r="D9" s="19" t="s">
        <v>176</v>
      </c>
      <c r="E9" s="62"/>
      <c r="F9" s="40"/>
      <c r="G9" s="26"/>
      <c r="H9" s="8"/>
      <c r="I9" s="29"/>
      <c r="J9" s="27"/>
      <c r="K9" s="27"/>
      <c r="L9" s="8"/>
      <c r="M9" s="36"/>
      <c r="N9" s="28"/>
      <c r="O9" s="12"/>
      <c r="P9" s="26"/>
      <c r="Q9" s="29"/>
      <c r="R9" s="144"/>
      <c r="S9" s="27"/>
      <c r="T9" s="8"/>
      <c r="U9" s="8"/>
      <c r="V9" s="12">
        <f t="shared" ref="V9:V11" si="0">E9+F9+G9+H9+I9+J9+K9+L9+M9-N9-O9-P9-Q9-R9-S9-T9-U9</f>
        <v>0</v>
      </c>
    </row>
    <row r="10" spans="1:25" ht="21" customHeight="1" x14ac:dyDescent="0.45">
      <c r="A10" s="11">
        <v>3</v>
      </c>
      <c r="B10" s="20" t="s">
        <v>515</v>
      </c>
      <c r="C10" s="21" t="s">
        <v>516</v>
      </c>
      <c r="D10" s="19" t="s">
        <v>51</v>
      </c>
      <c r="E10" s="62"/>
      <c r="F10" s="40"/>
      <c r="G10" s="29"/>
      <c r="H10" s="8"/>
      <c r="I10" s="29"/>
      <c r="J10" s="27"/>
      <c r="K10" s="27"/>
      <c r="L10" s="8"/>
      <c r="M10" s="36"/>
      <c r="N10" s="28"/>
      <c r="O10" s="12"/>
      <c r="P10" s="26"/>
      <c r="Q10" s="29"/>
      <c r="R10" s="144"/>
      <c r="S10" s="27"/>
      <c r="T10" s="8"/>
      <c r="U10" s="8"/>
      <c r="V10" s="12">
        <f>E10+F10+G10+H10+I10+J10+K10+L10+M10-N10-O10-P10-Q10-R10-S10-T10-U10</f>
        <v>0</v>
      </c>
    </row>
    <row r="11" spans="1:25" ht="21" customHeight="1" x14ac:dyDescent="0.45">
      <c r="A11" s="11">
        <v>4</v>
      </c>
      <c r="B11" s="36" t="s">
        <v>572</v>
      </c>
      <c r="C11" s="7" t="s">
        <v>573</v>
      </c>
      <c r="D11" s="8" t="s">
        <v>479</v>
      </c>
      <c r="E11" s="62"/>
      <c r="F11" s="40"/>
      <c r="G11" s="26"/>
      <c r="H11" s="8"/>
      <c r="I11" s="29"/>
      <c r="J11" s="27"/>
      <c r="K11" s="27"/>
      <c r="L11" s="8"/>
      <c r="M11" s="36"/>
      <c r="N11" s="28"/>
      <c r="O11" s="12"/>
      <c r="P11" s="8"/>
      <c r="Q11" s="27"/>
      <c r="R11" s="8"/>
      <c r="S11" s="8"/>
      <c r="T11" s="8"/>
      <c r="U11" s="8"/>
      <c r="V11" s="12">
        <f t="shared" si="0"/>
        <v>0</v>
      </c>
    </row>
    <row r="12" spans="1:25" ht="21" customHeight="1" x14ac:dyDescent="0.45">
      <c r="A12" s="11"/>
      <c r="B12" s="20"/>
      <c r="C12" s="21"/>
      <c r="D12" s="19"/>
      <c r="E12" s="62"/>
      <c r="F12" s="40"/>
      <c r="G12" s="26"/>
      <c r="H12" s="8"/>
      <c r="I12" s="27"/>
      <c r="J12" s="27"/>
      <c r="K12" s="27"/>
      <c r="L12" s="8"/>
      <c r="M12" s="36"/>
      <c r="N12" s="28"/>
      <c r="O12" s="12"/>
      <c r="P12" s="8"/>
      <c r="Q12" s="27"/>
      <c r="R12" s="8"/>
      <c r="S12" s="8"/>
      <c r="T12" s="8"/>
      <c r="U12" s="8"/>
      <c r="V12" s="12"/>
    </row>
    <row r="13" spans="1:25" ht="21.75" customHeight="1" x14ac:dyDescent="0.45">
      <c r="A13" s="11"/>
      <c r="B13" s="20"/>
      <c r="C13" s="21"/>
      <c r="D13" s="19"/>
      <c r="E13" s="62"/>
      <c r="F13" s="40"/>
      <c r="G13" s="26"/>
      <c r="H13" s="8"/>
      <c r="I13" s="27"/>
      <c r="J13" s="27"/>
      <c r="K13" s="27"/>
      <c r="L13" s="8"/>
      <c r="M13" s="36"/>
      <c r="N13" s="28"/>
      <c r="O13" s="12"/>
      <c r="P13" s="8"/>
      <c r="Q13" s="27"/>
      <c r="R13" s="8"/>
      <c r="S13" s="8"/>
      <c r="T13" s="8"/>
      <c r="U13" s="8"/>
      <c r="V13" s="12"/>
    </row>
    <row r="14" spans="1:25" ht="21" customHeight="1" x14ac:dyDescent="0.45">
      <c r="A14" s="11"/>
      <c r="B14" s="20"/>
      <c r="C14" s="21"/>
      <c r="D14" s="19"/>
      <c r="E14" s="62"/>
      <c r="F14" s="40"/>
      <c r="G14" s="26"/>
      <c r="H14" s="8"/>
      <c r="I14" s="27"/>
      <c r="J14" s="27"/>
      <c r="K14" s="27"/>
      <c r="L14" s="8"/>
      <c r="M14" s="36"/>
      <c r="N14" s="28"/>
      <c r="O14" s="12"/>
      <c r="P14" s="8"/>
      <c r="Q14" s="27"/>
      <c r="R14" s="8"/>
      <c r="S14" s="8"/>
      <c r="T14" s="8"/>
      <c r="U14" s="8"/>
      <c r="V14" s="12"/>
    </row>
    <row r="15" spans="1:25" ht="21" customHeight="1" x14ac:dyDescent="0.45">
      <c r="A15" s="11"/>
      <c r="B15" s="20"/>
      <c r="C15" s="21"/>
      <c r="D15" s="19"/>
      <c r="E15" s="62"/>
      <c r="F15" s="40"/>
      <c r="G15" s="26"/>
      <c r="H15" s="8"/>
      <c r="I15" s="27"/>
      <c r="J15" s="27"/>
      <c r="K15" s="27"/>
      <c r="L15" s="8"/>
      <c r="M15" s="36"/>
      <c r="N15" s="28"/>
      <c r="O15" s="12"/>
      <c r="P15" s="8"/>
      <c r="Q15" s="27"/>
      <c r="R15" s="8"/>
      <c r="S15" s="8"/>
      <c r="T15" s="8"/>
      <c r="U15" s="8"/>
      <c r="V15" s="12"/>
    </row>
    <row r="16" spans="1:25" ht="21" customHeight="1" x14ac:dyDescent="0.45">
      <c r="A16" s="11"/>
      <c r="B16" s="20"/>
      <c r="C16" s="21"/>
      <c r="D16" s="19"/>
      <c r="E16" s="62"/>
      <c r="F16" s="40"/>
      <c r="G16" s="26"/>
      <c r="H16" s="8"/>
      <c r="I16" s="27"/>
      <c r="J16" s="27"/>
      <c r="K16" s="27"/>
      <c r="L16" s="8"/>
      <c r="M16" s="36"/>
      <c r="N16" s="28"/>
      <c r="O16" s="12"/>
      <c r="P16" s="8"/>
      <c r="Q16" s="27"/>
      <c r="R16" s="8"/>
      <c r="S16" s="8"/>
      <c r="T16" s="8"/>
      <c r="U16" s="8"/>
      <c r="V16" s="12"/>
    </row>
    <row r="17" spans="1:22" ht="21" customHeight="1" x14ac:dyDescent="0.45">
      <c r="A17" s="11"/>
      <c r="B17" s="20"/>
      <c r="C17" s="21"/>
      <c r="D17" s="19"/>
      <c r="E17" s="62"/>
      <c r="F17" s="40"/>
      <c r="G17" s="26"/>
      <c r="H17" s="8"/>
      <c r="I17" s="27"/>
      <c r="J17" s="27"/>
      <c r="K17" s="27"/>
      <c r="L17" s="8"/>
      <c r="M17" s="36"/>
      <c r="N17" s="28"/>
      <c r="O17" s="12"/>
      <c r="P17" s="8"/>
      <c r="Q17" s="27"/>
      <c r="R17" s="8"/>
      <c r="S17" s="8"/>
      <c r="T17" s="8"/>
      <c r="U17" s="8"/>
      <c r="V17" s="12"/>
    </row>
    <row r="18" spans="1:22" ht="21" customHeight="1" x14ac:dyDescent="0.45">
      <c r="A18" s="11"/>
      <c r="B18" s="20"/>
      <c r="C18" s="21"/>
      <c r="D18" s="19"/>
      <c r="E18" s="62"/>
      <c r="F18" s="40"/>
      <c r="G18" s="26"/>
      <c r="H18" s="8"/>
      <c r="I18" s="27"/>
      <c r="J18" s="27"/>
      <c r="K18" s="27"/>
      <c r="L18" s="8"/>
      <c r="M18" s="36"/>
      <c r="N18" s="28"/>
      <c r="O18" s="12"/>
      <c r="P18" s="8"/>
      <c r="Q18" s="27"/>
      <c r="R18" s="8"/>
      <c r="S18" s="8"/>
      <c r="T18" s="8"/>
      <c r="U18" s="8"/>
      <c r="V18" s="12"/>
    </row>
    <row r="19" spans="1:22" ht="21" customHeight="1" x14ac:dyDescent="0.45">
      <c r="A19" s="11"/>
      <c r="B19" s="20"/>
      <c r="C19" s="21"/>
      <c r="D19" s="19"/>
      <c r="E19" s="62"/>
      <c r="F19" s="40"/>
      <c r="G19" s="26"/>
      <c r="H19" s="8"/>
      <c r="I19" s="27"/>
      <c r="J19" s="27"/>
      <c r="K19" s="27"/>
      <c r="L19" s="8"/>
      <c r="M19" s="36"/>
      <c r="N19" s="28"/>
      <c r="O19" s="12"/>
      <c r="P19" s="8"/>
      <c r="Q19" s="27"/>
      <c r="R19" s="8"/>
      <c r="S19" s="8"/>
      <c r="T19" s="8"/>
      <c r="U19" s="8"/>
      <c r="V19" s="12"/>
    </row>
    <row r="20" spans="1:22" ht="21" customHeight="1" x14ac:dyDescent="0.45">
      <c r="A20" s="11"/>
      <c r="B20" s="17"/>
      <c r="C20" s="18"/>
      <c r="D20" s="16"/>
      <c r="E20" s="44"/>
      <c r="F20" s="40"/>
      <c r="G20" s="26"/>
      <c r="H20" s="8"/>
      <c r="I20" s="27"/>
      <c r="J20" s="8"/>
      <c r="K20" s="8"/>
      <c r="L20" s="8"/>
      <c r="M20" s="36"/>
      <c r="N20" s="28"/>
      <c r="O20" s="12"/>
      <c r="P20" s="8"/>
      <c r="Q20" s="8"/>
      <c r="R20" s="8"/>
      <c r="S20" s="8"/>
      <c r="T20" s="8"/>
      <c r="U20" s="8"/>
      <c r="V20" s="8"/>
    </row>
    <row r="21" spans="1:22" ht="21" customHeight="1" x14ac:dyDescent="0.45">
      <c r="A21" s="11"/>
      <c r="B21" s="17"/>
      <c r="C21" s="18"/>
      <c r="D21" s="16"/>
      <c r="E21" s="44"/>
      <c r="F21" s="40"/>
      <c r="G21" s="29"/>
      <c r="H21" s="8"/>
      <c r="I21" s="27"/>
      <c r="J21" s="8"/>
      <c r="K21" s="8"/>
      <c r="L21" s="8"/>
      <c r="M21" s="36"/>
      <c r="N21" s="28"/>
      <c r="O21" s="12"/>
      <c r="P21" s="8"/>
      <c r="Q21" s="8"/>
      <c r="R21" s="8"/>
      <c r="S21" s="8"/>
      <c r="T21" s="8"/>
      <c r="U21" s="8"/>
      <c r="V21" s="8"/>
    </row>
    <row r="22" spans="1:22" ht="21" customHeight="1" x14ac:dyDescent="0.45">
      <c r="A22" s="11"/>
      <c r="B22" s="17"/>
      <c r="C22" s="18"/>
      <c r="D22" s="16"/>
      <c r="E22" s="44"/>
      <c r="F22" s="41"/>
      <c r="G22" s="29"/>
      <c r="H22" s="8"/>
      <c r="I22" s="27"/>
      <c r="J22" s="8"/>
      <c r="K22" s="8"/>
      <c r="L22" s="8"/>
      <c r="M22" s="36"/>
      <c r="N22" s="28"/>
      <c r="O22" s="12"/>
      <c r="P22" s="8"/>
      <c r="Q22" s="8"/>
      <c r="R22" s="8"/>
      <c r="S22" s="8"/>
      <c r="T22" s="8"/>
      <c r="U22" s="8"/>
      <c r="V22" s="8"/>
    </row>
    <row r="23" spans="1:22" ht="21" customHeight="1" x14ac:dyDescent="0.45">
      <c r="A23" s="11"/>
      <c r="B23" s="17"/>
      <c r="C23" s="18"/>
      <c r="D23" s="16"/>
      <c r="E23" s="44"/>
      <c r="F23" s="41"/>
      <c r="G23" s="29"/>
      <c r="H23" s="8"/>
      <c r="I23" s="27"/>
      <c r="J23" s="8"/>
      <c r="K23" s="8"/>
      <c r="L23" s="8"/>
      <c r="M23" s="36"/>
      <c r="N23" s="28"/>
      <c r="O23" s="12"/>
      <c r="P23" s="8"/>
      <c r="Q23" s="8"/>
      <c r="R23" s="8"/>
      <c r="S23" s="8"/>
      <c r="T23" s="8"/>
      <c r="U23" s="8"/>
      <c r="V23" s="15"/>
    </row>
    <row r="24" spans="1:22" s="14" customFormat="1" x14ac:dyDescent="0.45">
      <c r="A24" s="253" t="s">
        <v>58</v>
      </c>
      <c r="B24" s="278"/>
      <c r="C24" s="278"/>
      <c r="D24" s="278"/>
      <c r="E24" s="38">
        <f t="shared" ref="E24:S24" si="1">SUM(E8:E23)</f>
        <v>0</v>
      </c>
      <c r="F24" s="38">
        <f t="shared" si="1"/>
        <v>0</v>
      </c>
      <c r="G24" s="33">
        <f>SUM(G8:G23)</f>
        <v>0</v>
      </c>
      <c r="H24" s="38">
        <f t="shared" si="1"/>
        <v>0</v>
      </c>
      <c r="I24" s="33">
        <f t="shared" si="1"/>
        <v>2</v>
      </c>
      <c r="J24" s="31">
        <f t="shared" si="1"/>
        <v>3</v>
      </c>
      <c r="K24" s="31">
        <f t="shared" si="1"/>
        <v>0</v>
      </c>
      <c r="L24" s="31">
        <f t="shared" si="1"/>
        <v>0</v>
      </c>
      <c r="M24" s="52">
        <f t="shared" si="1"/>
        <v>0</v>
      </c>
      <c r="N24" s="53">
        <f t="shared" si="1"/>
        <v>0</v>
      </c>
      <c r="O24" s="31">
        <f t="shared" si="1"/>
        <v>0</v>
      </c>
      <c r="P24" s="31">
        <f t="shared" si="1"/>
        <v>0</v>
      </c>
      <c r="Q24" s="31">
        <f t="shared" si="1"/>
        <v>0</v>
      </c>
      <c r="R24" s="31">
        <f t="shared" si="1"/>
        <v>0</v>
      </c>
      <c r="S24" s="31">
        <f t="shared" si="1"/>
        <v>0</v>
      </c>
      <c r="T24" s="31">
        <f>SUM(T8:T23)</f>
        <v>0</v>
      </c>
      <c r="U24" s="31">
        <f>SUM(U8:U23)</f>
        <v>0</v>
      </c>
      <c r="V24" s="35">
        <f>SUM(V8:V23)</f>
        <v>5</v>
      </c>
    </row>
  </sheetData>
  <mergeCells count="26">
    <mergeCell ref="A1:V1"/>
    <mergeCell ref="A2:V2"/>
    <mergeCell ref="M4:M7"/>
    <mergeCell ref="N4:N7"/>
    <mergeCell ref="O4:O7"/>
    <mergeCell ref="P4:P7"/>
    <mergeCell ref="Q4:Q7"/>
    <mergeCell ref="R4:R7"/>
    <mergeCell ref="A3:A7"/>
    <mergeCell ref="B3:C7"/>
    <mergeCell ref="D3:M3"/>
    <mergeCell ref="H4:H7"/>
    <mergeCell ref="I4:I7"/>
    <mergeCell ref="J4:J7"/>
    <mergeCell ref="K4:K7"/>
    <mergeCell ref="A24:D24"/>
    <mergeCell ref="T4:T7"/>
    <mergeCell ref="U4:U7"/>
    <mergeCell ref="N3:V3"/>
    <mergeCell ref="D4:D7"/>
    <mergeCell ref="E4:E7"/>
    <mergeCell ref="F4:F7"/>
    <mergeCell ref="G4:G7"/>
    <mergeCell ref="L4:L7"/>
    <mergeCell ref="V4:V7"/>
    <mergeCell ref="S4:S7"/>
  </mergeCells>
  <phoneticPr fontId="20" type="noConversion"/>
  <pageMargins left="0.39370078740157483" right="0" top="0.59055118110236227" bottom="0.39370078740157483" header="0.31496062992125984" footer="0.31496062992125984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W43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T11" sqref="T11"/>
    </sheetView>
  </sheetViews>
  <sheetFormatPr defaultColWidth="9" defaultRowHeight="21" x14ac:dyDescent="0.45"/>
  <cols>
    <col min="1" max="1" width="3" style="9" customWidth="1"/>
    <col min="2" max="2" width="11" style="3" customWidth="1"/>
    <col min="3" max="3" width="10.875" style="3" customWidth="1"/>
    <col min="4" max="4" width="15" style="3" customWidth="1"/>
    <col min="5" max="5" width="9.125" style="34" customWidth="1"/>
    <col min="6" max="7" width="3.625" style="3" customWidth="1"/>
    <col min="8" max="8" width="7.125" style="3" customWidth="1"/>
    <col min="9" max="9" width="7.125" style="34" customWidth="1"/>
    <col min="10" max="10" width="8" style="3" customWidth="1"/>
    <col min="11" max="11" width="6.125" style="50" customWidth="1"/>
    <col min="12" max="12" width="6.125" style="3" customWidth="1"/>
    <col min="13" max="13" width="3.625" style="3" customWidth="1"/>
    <col min="14" max="14" width="6.125" style="3" customWidth="1"/>
    <col min="15" max="18" width="6.125" style="34" customWidth="1"/>
    <col min="19" max="19" width="7" style="34" customWidth="1"/>
    <col min="20" max="22" width="6.125" style="34" customWidth="1"/>
    <col min="23" max="23" width="9.375" style="3" customWidth="1"/>
    <col min="24" max="16384" width="9" style="3"/>
  </cols>
  <sheetData>
    <row r="1" spans="1:23" ht="23.25" x14ac:dyDescent="0.5">
      <c r="A1" s="251" t="s">
        <v>139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</row>
    <row r="2" spans="1:23" ht="23.25" x14ac:dyDescent="0.5">
      <c r="A2" s="263" t="str">
        <f>[1]ข้าราชการ!A2</f>
        <v>ประจำเดือนพฤศจิกายน  2568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</row>
    <row r="3" spans="1:23" x14ac:dyDescent="0.45">
      <c r="A3" s="254" t="s">
        <v>8</v>
      </c>
      <c r="B3" s="257" t="s">
        <v>1</v>
      </c>
      <c r="C3" s="258"/>
      <c r="D3" s="252" t="s">
        <v>9</v>
      </c>
      <c r="E3" s="252"/>
      <c r="F3" s="252"/>
      <c r="G3" s="252"/>
      <c r="H3" s="252"/>
      <c r="I3" s="252"/>
      <c r="J3" s="252"/>
      <c r="K3" s="252"/>
      <c r="L3" s="252"/>
      <c r="M3" s="253"/>
      <c r="N3" s="267" t="s">
        <v>10</v>
      </c>
      <c r="O3" s="252"/>
      <c r="P3" s="252"/>
      <c r="Q3" s="252"/>
      <c r="R3" s="252"/>
      <c r="S3" s="252"/>
      <c r="T3" s="252"/>
      <c r="U3" s="252"/>
      <c r="V3" s="252"/>
      <c r="W3" s="252"/>
    </row>
    <row r="4" spans="1:23" ht="21" customHeight="1" x14ac:dyDescent="0.45">
      <c r="A4" s="255"/>
      <c r="B4" s="259"/>
      <c r="C4" s="260"/>
      <c r="D4" s="254" t="s">
        <v>2</v>
      </c>
      <c r="E4" s="294" t="s">
        <v>3</v>
      </c>
      <c r="F4" s="283" t="s">
        <v>4</v>
      </c>
      <c r="G4" s="297" t="s">
        <v>107</v>
      </c>
      <c r="H4" s="290" t="s">
        <v>633</v>
      </c>
      <c r="I4" s="248" t="s">
        <v>630</v>
      </c>
      <c r="J4" s="268" t="s">
        <v>631</v>
      </c>
      <c r="K4" s="248" t="s">
        <v>634</v>
      </c>
      <c r="L4" s="293" t="s">
        <v>635</v>
      </c>
      <c r="M4" s="287" t="s">
        <v>7</v>
      </c>
      <c r="N4" s="266" t="s">
        <v>109</v>
      </c>
      <c r="O4" s="265" t="s">
        <v>54</v>
      </c>
      <c r="P4" s="265" t="s">
        <v>214</v>
      </c>
      <c r="Q4" s="265" t="s">
        <v>55</v>
      </c>
      <c r="R4" s="265" t="s">
        <v>209</v>
      </c>
      <c r="S4" s="265" t="s">
        <v>137</v>
      </c>
      <c r="T4" s="265" t="s">
        <v>377</v>
      </c>
      <c r="U4" s="265" t="s">
        <v>56</v>
      </c>
      <c r="V4" s="265" t="s">
        <v>57</v>
      </c>
      <c r="W4" s="264" t="s">
        <v>59</v>
      </c>
    </row>
    <row r="5" spans="1:23" ht="21" customHeight="1" x14ac:dyDescent="0.45">
      <c r="A5" s="255"/>
      <c r="B5" s="259"/>
      <c r="C5" s="260"/>
      <c r="D5" s="255"/>
      <c r="E5" s="295"/>
      <c r="F5" s="281"/>
      <c r="G5" s="298"/>
      <c r="H5" s="291"/>
      <c r="I5" s="249"/>
      <c r="J5" s="269"/>
      <c r="K5" s="249"/>
      <c r="L5" s="285"/>
      <c r="M5" s="288"/>
      <c r="N5" s="266"/>
      <c r="O5" s="265"/>
      <c r="P5" s="265"/>
      <c r="Q5" s="265"/>
      <c r="R5" s="265"/>
      <c r="S5" s="265"/>
      <c r="T5" s="265"/>
      <c r="U5" s="265"/>
      <c r="V5" s="265"/>
      <c r="W5" s="264"/>
    </row>
    <row r="6" spans="1:23" ht="21" customHeight="1" x14ac:dyDescent="0.45">
      <c r="A6" s="255"/>
      <c r="B6" s="259"/>
      <c r="C6" s="260"/>
      <c r="D6" s="255"/>
      <c r="E6" s="295"/>
      <c r="F6" s="281"/>
      <c r="G6" s="298"/>
      <c r="H6" s="291"/>
      <c r="I6" s="249"/>
      <c r="J6" s="269"/>
      <c r="K6" s="249"/>
      <c r="L6" s="285"/>
      <c r="M6" s="288"/>
      <c r="N6" s="266"/>
      <c r="O6" s="265"/>
      <c r="P6" s="265"/>
      <c r="Q6" s="265"/>
      <c r="R6" s="265"/>
      <c r="S6" s="265"/>
      <c r="T6" s="265"/>
      <c r="U6" s="265"/>
      <c r="V6" s="265"/>
      <c r="W6" s="264"/>
    </row>
    <row r="7" spans="1:23" ht="21" customHeight="1" x14ac:dyDescent="0.45">
      <c r="A7" s="256"/>
      <c r="B7" s="261"/>
      <c r="C7" s="262"/>
      <c r="D7" s="256"/>
      <c r="E7" s="296"/>
      <c r="F7" s="282"/>
      <c r="G7" s="299"/>
      <c r="H7" s="292"/>
      <c r="I7" s="250"/>
      <c r="J7" s="270"/>
      <c r="K7" s="250"/>
      <c r="L7" s="286"/>
      <c r="M7" s="289"/>
      <c r="N7" s="266"/>
      <c r="O7" s="265"/>
      <c r="P7" s="265"/>
      <c r="Q7" s="265"/>
      <c r="R7" s="265"/>
      <c r="S7" s="265"/>
      <c r="T7" s="265"/>
      <c r="U7" s="265"/>
      <c r="V7" s="265"/>
      <c r="W7" s="264"/>
    </row>
    <row r="8" spans="1:23" ht="21" customHeight="1" x14ac:dyDescent="0.45">
      <c r="A8" s="11">
        <v>1</v>
      </c>
      <c r="B8" s="177" t="s">
        <v>138</v>
      </c>
      <c r="C8" s="178" t="s">
        <v>87</v>
      </c>
      <c r="D8" s="22" t="s">
        <v>113</v>
      </c>
      <c r="E8" s="57">
        <v>10</v>
      </c>
      <c r="F8" s="40"/>
      <c r="G8" s="26"/>
      <c r="H8" s="8"/>
      <c r="I8" s="29"/>
      <c r="J8" s="12"/>
      <c r="K8" s="27"/>
      <c r="L8" s="202">
        <v>3</v>
      </c>
      <c r="M8" s="36"/>
      <c r="N8" s="119">
        <v>1</v>
      </c>
      <c r="O8" s="29">
        <v>1</v>
      </c>
      <c r="P8" s="27"/>
      <c r="Q8" s="29"/>
      <c r="R8" s="27">
        <v>1</v>
      </c>
      <c r="S8" s="27"/>
      <c r="T8" s="27"/>
      <c r="U8" s="29"/>
      <c r="V8" s="29"/>
      <c r="W8" s="12">
        <f t="shared" ref="W8:W20" si="0">E8+F8+G8+H8+I8+J8+K8+L8+M8-N8-O8-P8-Q8-R8-S8-T8-U8-V8</f>
        <v>10</v>
      </c>
    </row>
    <row r="9" spans="1:23" ht="21" customHeight="1" x14ac:dyDescent="0.45">
      <c r="A9" s="11">
        <v>2</v>
      </c>
      <c r="B9" s="177" t="s">
        <v>77</v>
      </c>
      <c r="C9" s="179" t="s">
        <v>78</v>
      </c>
      <c r="D9" s="22" t="s">
        <v>64</v>
      </c>
      <c r="E9" s="57">
        <v>10</v>
      </c>
      <c r="F9" s="40"/>
      <c r="G9" s="26"/>
      <c r="H9" s="8"/>
      <c r="I9" s="29"/>
      <c r="J9" s="12"/>
      <c r="K9" s="202">
        <v>500</v>
      </c>
      <c r="L9" s="202"/>
      <c r="M9" s="36"/>
      <c r="N9" s="119"/>
      <c r="O9" s="27"/>
      <c r="P9" s="27">
        <v>1</v>
      </c>
      <c r="Q9" s="29">
        <v>2</v>
      </c>
      <c r="R9" s="27"/>
      <c r="S9" s="27"/>
      <c r="T9" s="27"/>
      <c r="U9" s="29"/>
      <c r="V9" s="29"/>
      <c r="W9" s="12">
        <f t="shared" si="0"/>
        <v>507</v>
      </c>
    </row>
    <row r="10" spans="1:23" ht="21" customHeight="1" x14ac:dyDescent="0.45">
      <c r="A10" s="11">
        <v>3</v>
      </c>
      <c r="B10" s="177" t="s">
        <v>79</v>
      </c>
      <c r="C10" s="179" t="s">
        <v>168</v>
      </c>
      <c r="D10" s="22" t="s">
        <v>64</v>
      </c>
      <c r="E10" s="125">
        <v>10</v>
      </c>
      <c r="F10" s="40"/>
      <c r="G10" s="26"/>
      <c r="H10" s="27"/>
      <c r="I10" s="29"/>
      <c r="J10" s="12"/>
      <c r="K10" s="27"/>
      <c r="L10" s="202"/>
      <c r="M10" s="36"/>
      <c r="N10" s="119"/>
      <c r="O10" s="29"/>
      <c r="P10" s="27"/>
      <c r="Q10" s="29">
        <v>2</v>
      </c>
      <c r="R10" s="27"/>
      <c r="S10" s="27"/>
      <c r="T10" s="27">
        <v>2</v>
      </c>
      <c r="U10" s="29">
        <v>1</v>
      </c>
      <c r="V10" s="29">
        <v>1</v>
      </c>
      <c r="W10" s="12">
        <f t="shared" si="0"/>
        <v>4</v>
      </c>
    </row>
    <row r="11" spans="1:23" ht="21" customHeight="1" x14ac:dyDescent="0.45">
      <c r="A11" s="11">
        <v>4</v>
      </c>
      <c r="B11" s="177" t="s">
        <v>269</v>
      </c>
      <c r="C11" s="179" t="s">
        <v>268</v>
      </c>
      <c r="D11" s="181" t="s">
        <v>114</v>
      </c>
      <c r="E11" s="57"/>
      <c r="F11" s="40"/>
      <c r="G11" s="26"/>
      <c r="H11" s="27"/>
      <c r="I11" s="29"/>
      <c r="J11" s="12"/>
      <c r="K11" s="27"/>
      <c r="L11" s="202"/>
      <c r="M11" s="36"/>
      <c r="N11" s="119"/>
      <c r="O11" s="27"/>
      <c r="P11" s="27"/>
      <c r="Q11" s="29"/>
      <c r="R11" s="27"/>
      <c r="S11" s="27"/>
      <c r="T11" s="27"/>
      <c r="U11" s="29"/>
      <c r="V11" s="29"/>
      <c r="W11" s="12">
        <f t="shared" si="0"/>
        <v>0</v>
      </c>
    </row>
    <row r="12" spans="1:23" ht="21" customHeight="1" x14ac:dyDescent="0.45">
      <c r="A12" s="11">
        <v>5</v>
      </c>
      <c r="B12" s="177" t="s">
        <v>72</v>
      </c>
      <c r="C12" s="179" t="s">
        <v>169</v>
      </c>
      <c r="D12" s="22" t="s">
        <v>73</v>
      </c>
      <c r="E12" s="57"/>
      <c r="F12" s="40"/>
      <c r="G12" s="26"/>
      <c r="H12" s="27"/>
      <c r="I12" s="29"/>
      <c r="J12" s="12"/>
      <c r="K12" s="27"/>
      <c r="L12" s="202"/>
      <c r="M12" s="36"/>
      <c r="N12" s="119"/>
      <c r="O12" s="27"/>
      <c r="P12" s="27"/>
      <c r="Q12" s="29"/>
      <c r="R12" s="27"/>
      <c r="S12" s="27"/>
      <c r="T12" s="27"/>
      <c r="U12" s="29"/>
      <c r="V12" s="29"/>
      <c r="W12" s="12">
        <f t="shared" si="0"/>
        <v>0</v>
      </c>
    </row>
    <row r="13" spans="1:23" ht="21" customHeight="1" x14ac:dyDescent="0.45">
      <c r="A13" s="11">
        <v>6</v>
      </c>
      <c r="B13" s="177" t="s">
        <v>74</v>
      </c>
      <c r="C13" s="179" t="s">
        <v>274</v>
      </c>
      <c r="D13" s="22" t="s">
        <v>70</v>
      </c>
      <c r="E13" s="57"/>
      <c r="F13" s="40"/>
      <c r="G13" s="26"/>
      <c r="H13" s="27"/>
      <c r="I13" s="29"/>
      <c r="J13" s="12"/>
      <c r="K13" s="27"/>
      <c r="L13" s="202"/>
      <c r="M13" s="36"/>
      <c r="N13" s="119"/>
      <c r="O13" s="29"/>
      <c r="P13" s="27"/>
      <c r="Q13" s="203"/>
      <c r="R13" s="27"/>
      <c r="S13" s="29"/>
      <c r="T13" s="60"/>
      <c r="U13" s="29"/>
      <c r="V13" s="29"/>
      <c r="W13" s="12">
        <f t="shared" si="0"/>
        <v>0</v>
      </c>
    </row>
    <row r="14" spans="1:23" ht="21" customHeight="1" x14ac:dyDescent="0.45">
      <c r="A14" s="11">
        <v>7</v>
      </c>
      <c r="B14" s="177" t="s">
        <v>75</v>
      </c>
      <c r="C14" s="179" t="s">
        <v>76</v>
      </c>
      <c r="D14" s="22" t="s">
        <v>70</v>
      </c>
      <c r="E14" s="57"/>
      <c r="F14" s="40"/>
      <c r="G14" s="26"/>
      <c r="H14" s="27"/>
      <c r="I14" s="29"/>
      <c r="J14" s="12"/>
      <c r="K14" s="27"/>
      <c r="L14" s="202"/>
      <c r="M14" s="36"/>
      <c r="N14" s="119"/>
      <c r="O14" s="27"/>
      <c r="P14" s="27"/>
      <c r="Q14" s="29"/>
      <c r="R14" s="27"/>
      <c r="S14" s="29"/>
      <c r="T14" s="29"/>
      <c r="U14" s="29"/>
      <c r="V14" s="29"/>
      <c r="W14" s="12">
        <f t="shared" si="0"/>
        <v>0</v>
      </c>
    </row>
    <row r="15" spans="1:23" ht="21" customHeight="1" x14ac:dyDescent="0.45">
      <c r="A15" s="11">
        <v>8</v>
      </c>
      <c r="B15" s="177" t="s">
        <v>133</v>
      </c>
      <c r="C15" s="179" t="s">
        <v>134</v>
      </c>
      <c r="D15" s="22" t="s">
        <v>70</v>
      </c>
      <c r="E15" s="57"/>
      <c r="F15" s="40"/>
      <c r="G15" s="26"/>
      <c r="H15" s="27"/>
      <c r="I15" s="29"/>
      <c r="J15" s="12"/>
      <c r="K15" s="27"/>
      <c r="L15" s="202"/>
      <c r="M15" s="36"/>
      <c r="N15" s="119"/>
      <c r="O15" s="29"/>
      <c r="P15" s="27"/>
      <c r="Q15" s="29"/>
      <c r="R15" s="27"/>
      <c r="S15" s="29"/>
      <c r="T15" s="29"/>
      <c r="U15" s="29"/>
      <c r="V15" s="29"/>
      <c r="W15" s="12">
        <f t="shared" si="0"/>
        <v>0</v>
      </c>
    </row>
    <row r="16" spans="1:23" ht="21" customHeight="1" x14ac:dyDescent="0.45">
      <c r="A16" s="11">
        <v>9</v>
      </c>
      <c r="B16" s="177" t="s">
        <v>80</v>
      </c>
      <c r="C16" s="179" t="s">
        <v>76</v>
      </c>
      <c r="D16" s="22" t="s">
        <v>70</v>
      </c>
      <c r="E16" s="57"/>
      <c r="F16" s="40"/>
      <c r="G16" s="26"/>
      <c r="H16" s="27"/>
      <c r="I16" s="29"/>
      <c r="J16" s="12"/>
      <c r="K16" s="27"/>
      <c r="L16" s="202"/>
      <c r="M16" s="36"/>
      <c r="N16" s="119"/>
      <c r="O16" s="29"/>
      <c r="P16" s="27"/>
      <c r="Q16" s="29"/>
      <c r="R16" s="27"/>
      <c r="S16" s="29"/>
      <c r="T16" s="27"/>
      <c r="U16" s="29"/>
      <c r="V16" s="29"/>
      <c r="W16" s="12">
        <f t="shared" si="0"/>
        <v>0</v>
      </c>
    </row>
    <row r="17" spans="1:23" ht="21" customHeight="1" x14ac:dyDescent="0.45">
      <c r="A17" s="11">
        <v>10</v>
      </c>
      <c r="B17" s="36" t="s">
        <v>277</v>
      </c>
      <c r="C17" s="43" t="s">
        <v>278</v>
      </c>
      <c r="D17" s="8" t="s">
        <v>112</v>
      </c>
      <c r="E17" s="57"/>
      <c r="F17" s="40"/>
      <c r="G17" s="26"/>
      <c r="H17" s="27"/>
      <c r="I17" s="29"/>
      <c r="J17" s="12"/>
      <c r="K17" s="27"/>
      <c r="L17" s="202"/>
      <c r="M17" s="36"/>
      <c r="N17" s="119"/>
      <c r="O17" s="27"/>
      <c r="P17" s="27"/>
      <c r="Q17" s="29"/>
      <c r="R17" s="27"/>
      <c r="S17" s="27"/>
      <c r="T17" s="27"/>
      <c r="U17" s="27"/>
      <c r="V17" s="27"/>
      <c r="W17" s="12">
        <f t="shared" si="0"/>
        <v>0</v>
      </c>
    </row>
    <row r="18" spans="1:23" ht="21" customHeight="1" x14ac:dyDescent="0.45">
      <c r="A18" s="11">
        <v>11</v>
      </c>
      <c r="B18" s="36" t="s">
        <v>226</v>
      </c>
      <c r="C18" s="43" t="s">
        <v>227</v>
      </c>
      <c r="D18" s="22" t="s">
        <v>64</v>
      </c>
      <c r="E18" s="57"/>
      <c r="F18" s="40"/>
      <c r="G18" s="26"/>
      <c r="H18" s="27"/>
      <c r="I18" s="29"/>
      <c r="J18" s="12"/>
      <c r="K18" s="27"/>
      <c r="L18" s="202"/>
      <c r="M18" s="36"/>
      <c r="N18" s="119"/>
      <c r="O18" s="27"/>
      <c r="P18" s="27"/>
      <c r="Q18" s="29"/>
      <c r="R18" s="27"/>
      <c r="S18" s="27"/>
      <c r="T18" s="27"/>
      <c r="U18" s="27"/>
      <c r="V18" s="27"/>
      <c r="W18" s="12">
        <f t="shared" si="0"/>
        <v>0</v>
      </c>
    </row>
    <row r="19" spans="1:23" ht="21" customHeight="1" x14ac:dyDescent="0.45">
      <c r="A19" s="11">
        <v>12</v>
      </c>
      <c r="B19" s="36" t="s">
        <v>284</v>
      </c>
      <c r="C19" s="43" t="s">
        <v>285</v>
      </c>
      <c r="D19" s="22" t="s">
        <v>64</v>
      </c>
      <c r="E19" s="57"/>
      <c r="F19" s="40"/>
      <c r="G19" s="26"/>
      <c r="H19" s="27"/>
      <c r="I19" s="29"/>
      <c r="J19" s="12"/>
      <c r="K19" s="27"/>
      <c r="L19" s="202"/>
      <c r="M19" s="36"/>
      <c r="N19" s="119"/>
      <c r="O19" s="27"/>
      <c r="P19" s="27"/>
      <c r="Q19" s="29"/>
      <c r="R19" s="27"/>
      <c r="S19" s="27"/>
      <c r="T19" s="27"/>
      <c r="U19" s="27"/>
      <c r="V19" s="27"/>
      <c r="W19" s="12">
        <f t="shared" si="0"/>
        <v>0</v>
      </c>
    </row>
    <row r="20" spans="1:23" ht="21" customHeight="1" x14ac:dyDescent="0.45">
      <c r="A20" s="11">
        <v>13</v>
      </c>
      <c r="B20" s="177" t="s">
        <v>83</v>
      </c>
      <c r="C20" s="178" t="s">
        <v>84</v>
      </c>
      <c r="D20" s="22" t="s">
        <v>64</v>
      </c>
      <c r="E20" s="57"/>
      <c r="F20" s="40"/>
      <c r="G20" s="26"/>
      <c r="H20" s="27"/>
      <c r="I20" s="29"/>
      <c r="J20" s="12"/>
      <c r="K20" s="27"/>
      <c r="L20" s="202"/>
      <c r="M20" s="36"/>
      <c r="N20" s="119"/>
      <c r="O20" s="29"/>
      <c r="P20" s="27"/>
      <c r="Q20" s="29"/>
      <c r="R20" s="27"/>
      <c r="S20" s="27"/>
      <c r="T20" s="27"/>
      <c r="U20" s="27"/>
      <c r="V20" s="27"/>
      <c r="W20" s="12">
        <f t="shared" si="0"/>
        <v>0</v>
      </c>
    </row>
    <row r="21" spans="1:23" ht="21" customHeight="1" x14ac:dyDescent="0.45">
      <c r="A21" s="11">
        <v>14</v>
      </c>
      <c r="B21" s="177" t="s">
        <v>85</v>
      </c>
      <c r="C21" s="178" t="s">
        <v>86</v>
      </c>
      <c r="D21" s="22" t="s">
        <v>112</v>
      </c>
      <c r="E21" s="57"/>
      <c r="F21" s="40"/>
      <c r="G21" s="26"/>
      <c r="H21" s="27"/>
      <c r="I21" s="29"/>
      <c r="J21" s="12"/>
      <c r="K21" s="27"/>
      <c r="L21" s="202"/>
      <c r="M21" s="36"/>
      <c r="N21" s="119"/>
      <c r="O21" s="29"/>
      <c r="P21" s="27"/>
      <c r="Q21" s="29"/>
      <c r="R21" s="27"/>
      <c r="S21" s="27"/>
      <c r="T21" s="27"/>
      <c r="U21" s="27"/>
      <c r="V21" s="27"/>
      <c r="W21" s="12">
        <f>E21+F21+G21+H21+I21+J21+K21+L21+M21-N21-O21-P21-Q21-R21-S21-T21-U21-V21</f>
        <v>0</v>
      </c>
    </row>
    <row r="22" spans="1:23" ht="21" customHeight="1" x14ac:dyDescent="0.45">
      <c r="A22" s="11">
        <v>15</v>
      </c>
      <c r="B22" s="180" t="s">
        <v>88</v>
      </c>
      <c r="C22" s="24" t="s">
        <v>89</v>
      </c>
      <c r="D22" s="181" t="s">
        <v>114</v>
      </c>
      <c r="E22" s="57"/>
      <c r="F22" s="40"/>
      <c r="G22" s="26"/>
      <c r="H22" s="27"/>
      <c r="I22" s="29"/>
      <c r="J22" s="12"/>
      <c r="K22" s="27"/>
      <c r="L22" s="202"/>
      <c r="M22" s="36"/>
      <c r="N22" s="119"/>
      <c r="O22" s="202"/>
      <c r="P22" s="27"/>
      <c r="Q22" s="29"/>
      <c r="R22" s="27"/>
      <c r="S22" s="27"/>
      <c r="T22" s="27"/>
      <c r="U22" s="27"/>
      <c r="V22" s="27"/>
      <c r="W22" s="12">
        <f>E22+F22+G22+H22+I22+J22+K22+L22+M22-N22-O22-P22-Q22-R22-S22-T22-U22-V22</f>
        <v>0</v>
      </c>
    </row>
    <row r="23" spans="1:23" ht="21" customHeight="1" x14ac:dyDescent="0.45">
      <c r="A23" s="11">
        <v>16</v>
      </c>
      <c r="B23" s="180" t="s">
        <v>90</v>
      </c>
      <c r="C23" s="24" t="s">
        <v>91</v>
      </c>
      <c r="D23" s="22" t="s">
        <v>64</v>
      </c>
      <c r="E23" s="57"/>
      <c r="F23" s="40"/>
      <c r="G23" s="26"/>
      <c r="H23" s="27"/>
      <c r="I23" s="29"/>
      <c r="J23" s="12"/>
      <c r="K23" s="27"/>
      <c r="L23" s="202"/>
      <c r="M23" s="36"/>
      <c r="N23" s="119"/>
      <c r="O23" s="27"/>
      <c r="P23" s="27"/>
      <c r="Q23" s="29"/>
      <c r="R23" s="27"/>
      <c r="S23" s="27"/>
      <c r="T23" s="27"/>
      <c r="U23" s="202"/>
      <c r="V23" s="202"/>
      <c r="W23" s="12">
        <f>E23+F23+G23+H23+I23+J23+K23+L23+M23-N23-O23-P23-Q23-R23-S23-T23-U23-V23</f>
        <v>0</v>
      </c>
    </row>
    <row r="24" spans="1:23" ht="21" customHeight="1" x14ac:dyDescent="0.45">
      <c r="A24" s="11">
        <v>17</v>
      </c>
      <c r="B24" s="36" t="s">
        <v>270</v>
      </c>
      <c r="C24" s="43" t="s">
        <v>271</v>
      </c>
      <c r="D24" s="23" t="s">
        <v>165</v>
      </c>
      <c r="E24" s="57"/>
      <c r="F24" s="40"/>
      <c r="G24" s="26"/>
      <c r="H24" s="27"/>
      <c r="I24" s="29"/>
      <c r="J24" s="12"/>
      <c r="K24" s="27"/>
      <c r="L24" s="202"/>
      <c r="M24" s="36"/>
      <c r="N24" s="119"/>
      <c r="O24" s="27"/>
      <c r="P24" s="27"/>
      <c r="Q24" s="29"/>
      <c r="R24" s="27"/>
      <c r="S24" s="27"/>
      <c r="T24" s="27"/>
      <c r="U24" s="27"/>
      <c r="V24" s="27"/>
      <c r="W24" s="12">
        <f>E24+F24+G24+H24+I24+J24+K24+L24+M24-N24-O24-P24-Q24-R24-S24-T24-U24-V24</f>
        <v>0</v>
      </c>
    </row>
    <row r="25" spans="1:23" ht="21" customHeight="1" x14ac:dyDescent="0.45">
      <c r="A25" s="252" t="s">
        <v>60</v>
      </c>
      <c r="B25" s="252"/>
      <c r="C25" s="252"/>
      <c r="D25" s="252"/>
      <c r="E25" s="58">
        <f>SUM(E8:E24)</f>
        <v>30</v>
      </c>
      <c r="F25" s="58">
        <f t="shared" ref="F25:L25" si="1">SUM(F8:F24)</f>
        <v>0</v>
      </c>
      <c r="G25" s="58">
        <f t="shared" si="1"/>
        <v>0</v>
      </c>
      <c r="H25" s="58">
        <f t="shared" si="1"/>
        <v>0</v>
      </c>
      <c r="I25" s="58">
        <f t="shared" si="1"/>
        <v>0</v>
      </c>
      <c r="J25" s="58">
        <f t="shared" si="1"/>
        <v>0</v>
      </c>
      <c r="K25" s="58">
        <f t="shared" si="1"/>
        <v>500</v>
      </c>
      <c r="L25" s="58">
        <f t="shared" si="1"/>
        <v>3</v>
      </c>
      <c r="M25" s="58">
        <f>SUM(M8:M24)</f>
        <v>0</v>
      </c>
      <c r="N25" s="216">
        <f>SUM(N8:N24)</f>
        <v>1</v>
      </c>
      <c r="O25" s="202">
        <f>SUM(O8:O24)</f>
        <v>1</v>
      </c>
      <c r="P25" s="202">
        <f t="shared" ref="P25:V25" si="2">SUM(P8:P24)</f>
        <v>1</v>
      </c>
      <c r="Q25" s="202">
        <f t="shared" si="2"/>
        <v>4</v>
      </c>
      <c r="R25" s="202">
        <f t="shared" si="2"/>
        <v>1</v>
      </c>
      <c r="S25" s="202">
        <f t="shared" si="2"/>
        <v>0</v>
      </c>
      <c r="T25" s="202">
        <f t="shared" si="2"/>
        <v>2</v>
      </c>
      <c r="U25" s="202">
        <f t="shared" si="2"/>
        <v>1</v>
      </c>
      <c r="V25" s="202">
        <f t="shared" si="2"/>
        <v>1</v>
      </c>
      <c r="W25" s="202">
        <f>SUM(W8:W24)</f>
        <v>521</v>
      </c>
    </row>
    <row r="26" spans="1:23" ht="21" customHeight="1" x14ac:dyDescent="0.45">
      <c r="A26" s="252" t="s">
        <v>61</v>
      </c>
      <c r="B26" s="252"/>
      <c r="C26" s="252"/>
      <c r="D26" s="252"/>
      <c r="E26" s="58">
        <f>E25</f>
        <v>30</v>
      </c>
      <c r="F26" s="58">
        <f t="shared" ref="F26:L26" si="3">F25</f>
        <v>0</v>
      </c>
      <c r="G26" s="58">
        <f t="shared" si="3"/>
        <v>0</v>
      </c>
      <c r="H26" s="58">
        <f t="shared" si="3"/>
        <v>0</v>
      </c>
      <c r="I26" s="58">
        <f t="shared" si="3"/>
        <v>0</v>
      </c>
      <c r="J26" s="58">
        <f t="shared" si="3"/>
        <v>0</v>
      </c>
      <c r="K26" s="58">
        <f t="shared" si="3"/>
        <v>500</v>
      </c>
      <c r="L26" s="58">
        <f t="shared" si="3"/>
        <v>3</v>
      </c>
      <c r="M26" s="126">
        <f>M25</f>
        <v>0</v>
      </c>
      <c r="N26" s="232">
        <f>N25</f>
        <v>1</v>
      </c>
      <c r="O26" s="202">
        <f>O25</f>
        <v>1</v>
      </c>
      <c r="P26" s="202">
        <f t="shared" ref="P26:V26" si="4">P25</f>
        <v>1</v>
      </c>
      <c r="Q26" s="202">
        <f t="shared" si="4"/>
        <v>4</v>
      </c>
      <c r="R26" s="202">
        <f t="shared" si="4"/>
        <v>1</v>
      </c>
      <c r="S26" s="202">
        <f t="shared" si="4"/>
        <v>0</v>
      </c>
      <c r="T26" s="202">
        <f t="shared" si="4"/>
        <v>2</v>
      </c>
      <c r="U26" s="202">
        <f t="shared" si="4"/>
        <v>1</v>
      </c>
      <c r="V26" s="202">
        <f t="shared" si="4"/>
        <v>1</v>
      </c>
      <c r="W26" s="202">
        <f>W25</f>
        <v>521</v>
      </c>
    </row>
    <row r="27" spans="1:23" ht="21" customHeight="1" x14ac:dyDescent="0.45">
      <c r="A27" s="11">
        <v>18</v>
      </c>
      <c r="B27" s="43" t="s">
        <v>362</v>
      </c>
      <c r="C27" s="43" t="s">
        <v>307</v>
      </c>
      <c r="D27" s="22" t="s">
        <v>64</v>
      </c>
      <c r="E27" s="57"/>
      <c r="F27" s="40"/>
      <c r="G27" s="26"/>
      <c r="H27" s="27"/>
      <c r="I27" s="29"/>
      <c r="J27" s="12"/>
      <c r="K27" s="27"/>
      <c r="L27" s="202"/>
      <c r="M27" s="36"/>
      <c r="N27" s="119"/>
      <c r="O27" s="27"/>
      <c r="P27" s="27"/>
      <c r="Q27" s="29"/>
      <c r="R27" s="27"/>
      <c r="S27" s="27"/>
      <c r="T27" s="29"/>
      <c r="U27" s="27"/>
      <c r="V27" s="27"/>
      <c r="W27" s="12">
        <f>E27+F27+G27+H27+I27+J27+K27+L27+M27-N27-O27-P27-Q27-R27-S27-T27-U27-V27</f>
        <v>0</v>
      </c>
    </row>
    <row r="28" spans="1:23" ht="21" customHeight="1" x14ac:dyDescent="0.45">
      <c r="A28" s="11">
        <v>19</v>
      </c>
      <c r="B28" s="43" t="s">
        <v>382</v>
      </c>
      <c r="C28" s="43" t="s">
        <v>332</v>
      </c>
      <c r="D28" s="22" t="s">
        <v>64</v>
      </c>
      <c r="E28" s="57"/>
      <c r="F28" s="40"/>
      <c r="G28" s="26"/>
      <c r="H28" s="27"/>
      <c r="I28" s="29"/>
      <c r="J28" s="12"/>
      <c r="K28" s="27"/>
      <c r="L28" s="202"/>
      <c r="M28" s="36"/>
      <c r="N28" s="119"/>
      <c r="O28" s="29"/>
      <c r="P28" s="27"/>
      <c r="Q28" s="29"/>
      <c r="R28" s="27"/>
      <c r="S28" s="27"/>
      <c r="T28" s="27"/>
      <c r="U28" s="27"/>
      <c r="V28" s="27"/>
      <c r="W28" s="12">
        <f t="shared" ref="W28:W40" si="5">E28+F28+G28+H28+I28+J28+K28+L28+M28-N28-O28-P28-Q28-R28-S28-T28-U28-V28</f>
        <v>0</v>
      </c>
    </row>
    <row r="29" spans="1:23" ht="21" customHeight="1" x14ac:dyDescent="0.45">
      <c r="A29" s="11">
        <v>20</v>
      </c>
      <c r="B29" s="43" t="s">
        <v>313</v>
      </c>
      <c r="C29" s="43" t="s">
        <v>314</v>
      </c>
      <c r="D29" s="8" t="s">
        <v>232</v>
      </c>
      <c r="E29" s="57"/>
      <c r="F29" s="40"/>
      <c r="G29" s="26"/>
      <c r="H29" s="27"/>
      <c r="I29" s="29"/>
      <c r="J29" s="12"/>
      <c r="K29" s="29"/>
      <c r="L29" s="202"/>
      <c r="M29" s="36"/>
      <c r="N29" s="119"/>
      <c r="O29" s="27"/>
      <c r="P29" s="27"/>
      <c r="Q29" s="29"/>
      <c r="R29" s="27"/>
      <c r="S29" s="27"/>
      <c r="T29" s="27"/>
      <c r="U29" s="27"/>
      <c r="V29" s="27"/>
      <c r="W29" s="12">
        <f t="shared" si="5"/>
        <v>0</v>
      </c>
    </row>
    <row r="30" spans="1:23" ht="21" customHeight="1" x14ac:dyDescent="0.45">
      <c r="A30" s="11">
        <v>21</v>
      </c>
      <c r="B30" s="36" t="s">
        <v>177</v>
      </c>
      <c r="C30" s="7" t="s">
        <v>178</v>
      </c>
      <c r="D30" s="8" t="s">
        <v>165</v>
      </c>
      <c r="E30" s="57"/>
      <c r="F30" s="40"/>
      <c r="G30" s="26"/>
      <c r="H30" s="27"/>
      <c r="I30" s="29"/>
      <c r="J30" s="12"/>
      <c r="K30" s="29"/>
      <c r="L30" s="202"/>
      <c r="M30" s="36"/>
      <c r="N30" s="119"/>
      <c r="O30" s="27"/>
      <c r="P30" s="27"/>
      <c r="Q30" s="29"/>
      <c r="R30" s="27"/>
      <c r="S30" s="27"/>
      <c r="T30" s="27"/>
      <c r="U30" s="27"/>
      <c r="V30" s="27"/>
      <c r="W30" s="12">
        <f t="shared" si="5"/>
        <v>0</v>
      </c>
    </row>
    <row r="31" spans="1:23" ht="21" customHeight="1" x14ac:dyDescent="0.45">
      <c r="A31" s="11">
        <v>22</v>
      </c>
      <c r="B31" s="3" t="s">
        <v>329</v>
      </c>
      <c r="C31" s="3" t="s">
        <v>330</v>
      </c>
      <c r="D31" s="8" t="s">
        <v>94</v>
      </c>
      <c r="E31" s="57"/>
      <c r="F31" s="40"/>
      <c r="G31" s="26"/>
      <c r="H31" s="29">
        <v>50</v>
      </c>
      <c r="I31" s="29"/>
      <c r="J31" s="12">
        <v>5</v>
      </c>
      <c r="K31" s="29"/>
      <c r="L31" s="202"/>
      <c r="M31" s="36"/>
      <c r="N31" s="119"/>
      <c r="O31" s="27"/>
      <c r="P31" s="27"/>
      <c r="Q31" s="29"/>
      <c r="R31" s="27"/>
      <c r="S31" s="27"/>
      <c r="T31" s="27"/>
      <c r="U31" s="27"/>
      <c r="V31" s="27"/>
      <c r="W31" s="12">
        <f t="shared" si="5"/>
        <v>55</v>
      </c>
    </row>
    <row r="32" spans="1:23" ht="21" customHeight="1" x14ac:dyDescent="0.45">
      <c r="A32" s="11">
        <v>23</v>
      </c>
      <c r="B32" s="36" t="s">
        <v>363</v>
      </c>
      <c r="C32" s="43" t="s">
        <v>312</v>
      </c>
      <c r="D32" s="8" t="s">
        <v>437</v>
      </c>
      <c r="E32" s="57"/>
      <c r="F32" s="40"/>
      <c r="G32" s="26"/>
      <c r="H32" s="27"/>
      <c r="I32" s="29"/>
      <c r="J32" s="12"/>
      <c r="K32" s="29"/>
      <c r="L32" s="202"/>
      <c r="M32" s="36"/>
      <c r="N32" s="119"/>
      <c r="O32" s="27"/>
      <c r="P32" s="27"/>
      <c r="Q32" s="29"/>
      <c r="R32" s="27"/>
      <c r="S32" s="27"/>
      <c r="T32" s="27"/>
      <c r="U32" s="27"/>
      <c r="V32" s="27"/>
      <c r="W32" s="12">
        <f t="shared" si="5"/>
        <v>0</v>
      </c>
    </row>
    <row r="33" spans="1:23" ht="21" customHeight="1" x14ac:dyDescent="0.45">
      <c r="A33" s="11">
        <v>24</v>
      </c>
      <c r="B33" s="25" t="s">
        <v>319</v>
      </c>
      <c r="C33" s="37" t="s">
        <v>320</v>
      </c>
      <c r="D33" s="23" t="s">
        <v>232</v>
      </c>
      <c r="E33" s="57"/>
      <c r="F33" s="40"/>
      <c r="G33" s="26"/>
      <c r="H33" s="27"/>
      <c r="I33" s="29"/>
      <c r="J33" s="12"/>
      <c r="K33" s="29"/>
      <c r="L33" s="202"/>
      <c r="M33" s="36"/>
      <c r="N33" s="119"/>
      <c r="O33" s="27"/>
      <c r="P33" s="27"/>
      <c r="Q33" s="29"/>
      <c r="R33" s="27"/>
      <c r="S33" s="27"/>
      <c r="T33" s="27"/>
      <c r="U33" s="27"/>
      <c r="V33" s="27"/>
      <c r="W33" s="12">
        <f t="shared" si="5"/>
        <v>0</v>
      </c>
    </row>
    <row r="34" spans="1:23" ht="21" customHeight="1" x14ac:dyDescent="0.45">
      <c r="A34" s="11">
        <v>25</v>
      </c>
      <c r="B34" s="36" t="s">
        <v>295</v>
      </c>
      <c r="C34" s="43" t="s">
        <v>296</v>
      </c>
      <c r="D34" s="22" t="s">
        <v>64</v>
      </c>
      <c r="E34" s="57"/>
      <c r="F34" s="40"/>
      <c r="G34" s="26"/>
      <c r="H34" s="27"/>
      <c r="I34" s="29"/>
      <c r="J34" s="12"/>
      <c r="K34" s="29"/>
      <c r="L34" s="202"/>
      <c r="M34" s="36"/>
      <c r="N34" s="119"/>
      <c r="O34" s="27"/>
      <c r="P34" s="27"/>
      <c r="Q34" s="29"/>
      <c r="R34" s="27"/>
      <c r="S34" s="27"/>
      <c r="T34" s="27"/>
      <c r="U34" s="27"/>
      <c r="V34" s="27"/>
      <c r="W34" s="12">
        <f t="shared" si="5"/>
        <v>0</v>
      </c>
    </row>
    <row r="35" spans="1:23" ht="21" customHeight="1" x14ac:dyDescent="0.45">
      <c r="A35" s="11">
        <v>26</v>
      </c>
      <c r="B35" s="36" t="s">
        <v>348</v>
      </c>
      <c r="C35" s="7" t="s">
        <v>349</v>
      </c>
      <c r="D35" s="22" t="s">
        <v>64</v>
      </c>
      <c r="E35" s="57"/>
      <c r="F35" s="40"/>
      <c r="G35" s="26"/>
      <c r="H35" s="27"/>
      <c r="I35" s="29"/>
      <c r="J35" s="12"/>
      <c r="K35" s="29"/>
      <c r="L35" s="202"/>
      <c r="M35" s="36"/>
      <c r="N35" s="119"/>
      <c r="O35" s="27"/>
      <c r="P35" s="27"/>
      <c r="Q35" s="27"/>
      <c r="R35" s="27"/>
      <c r="S35" s="27"/>
      <c r="T35" s="27"/>
      <c r="U35" s="27"/>
      <c r="V35" s="27"/>
      <c r="W35" s="12">
        <f>E35+F35+G35+H35+I35+J35+K35+L35+M35-N35-O35-P35-Q35-R35-S35-T35-U35-V35</f>
        <v>0</v>
      </c>
    </row>
    <row r="36" spans="1:23" ht="21" customHeight="1" x14ac:dyDescent="0.45">
      <c r="A36" s="11">
        <v>27</v>
      </c>
      <c r="B36" s="3" t="s">
        <v>424</v>
      </c>
      <c r="C36" s="3" t="s">
        <v>425</v>
      </c>
      <c r="D36" s="23" t="s">
        <v>176</v>
      </c>
      <c r="E36" s="57"/>
      <c r="F36" s="40"/>
      <c r="G36" s="26"/>
      <c r="H36" s="27"/>
      <c r="I36" s="29"/>
      <c r="J36" s="12"/>
      <c r="K36" s="29"/>
      <c r="L36" s="202"/>
      <c r="M36" s="36"/>
      <c r="N36" s="119"/>
      <c r="O36" s="27"/>
      <c r="P36" s="27"/>
      <c r="Q36" s="27"/>
      <c r="R36" s="27"/>
      <c r="S36" s="27"/>
      <c r="T36" s="27"/>
      <c r="U36" s="27"/>
      <c r="V36" s="27"/>
      <c r="W36" s="12">
        <f t="shared" si="5"/>
        <v>0</v>
      </c>
    </row>
    <row r="37" spans="1:23" ht="21" customHeight="1" x14ac:dyDescent="0.45">
      <c r="A37" s="11">
        <v>28</v>
      </c>
      <c r="B37" s="127" t="s">
        <v>428</v>
      </c>
      <c r="C37" s="7" t="s">
        <v>429</v>
      </c>
      <c r="D37" s="8" t="s">
        <v>232</v>
      </c>
      <c r="E37" s="57"/>
      <c r="F37" s="40"/>
      <c r="G37" s="26"/>
      <c r="H37" s="29"/>
      <c r="I37" s="29"/>
      <c r="J37" s="27"/>
      <c r="K37" s="27"/>
      <c r="L37" s="202"/>
      <c r="M37" s="36"/>
      <c r="N37" s="28"/>
      <c r="O37" s="12"/>
      <c r="P37" s="8"/>
      <c r="Q37" s="27"/>
      <c r="R37" s="27"/>
      <c r="S37" s="27"/>
      <c r="T37" s="27"/>
      <c r="U37" s="27"/>
      <c r="V37" s="8"/>
      <c r="W37" s="12">
        <f t="shared" si="5"/>
        <v>0</v>
      </c>
    </row>
    <row r="38" spans="1:23" ht="21" customHeight="1" x14ac:dyDescent="0.45">
      <c r="A38" s="11">
        <v>29</v>
      </c>
      <c r="B38" s="43" t="s">
        <v>378</v>
      </c>
      <c r="C38" s="43" t="s">
        <v>379</v>
      </c>
      <c r="D38" s="8" t="s">
        <v>171</v>
      </c>
      <c r="E38" s="57"/>
      <c r="F38" s="40"/>
      <c r="G38" s="26"/>
      <c r="H38" s="29"/>
      <c r="I38" s="29"/>
      <c r="J38" s="27"/>
      <c r="K38" s="27"/>
      <c r="L38" s="202"/>
      <c r="M38" s="36"/>
      <c r="N38" s="28"/>
      <c r="O38" s="12"/>
      <c r="P38" s="8"/>
      <c r="Q38" s="27"/>
      <c r="R38" s="27"/>
      <c r="S38" s="27"/>
      <c r="T38" s="27"/>
      <c r="U38" s="27"/>
      <c r="V38" s="121"/>
      <c r="W38" s="12">
        <f t="shared" si="5"/>
        <v>0</v>
      </c>
    </row>
    <row r="39" spans="1:23" ht="21" customHeight="1" x14ac:dyDescent="0.45">
      <c r="A39" s="11">
        <v>30</v>
      </c>
      <c r="B39" s="127" t="s">
        <v>430</v>
      </c>
      <c r="C39" s="7" t="s">
        <v>431</v>
      </c>
      <c r="D39" s="22" t="s">
        <v>64</v>
      </c>
      <c r="E39" s="57"/>
      <c r="F39" s="40"/>
      <c r="G39" s="26"/>
      <c r="H39" s="29"/>
      <c r="I39" s="29"/>
      <c r="J39" s="27"/>
      <c r="K39" s="27"/>
      <c r="L39" s="202"/>
      <c r="M39" s="36"/>
      <c r="N39" s="28"/>
      <c r="O39" s="12"/>
      <c r="P39" s="8"/>
      <c r="Q39" s="27"/>
      <c r="R39" s="27"/>
      <c r="S39" s="27"/>
      <c r="T39" s="27"/>
      <c r="U39" s="27"/>
      <c r="V39" s="121"/>
      <c r="W39" s="12">
        <f t="shared" si="5"/>
        <v>0</v>
      </c>
    </row>
    <row r="40" spans="1:23" ht="21" customHeight="1" x14ac:dyDescent="0.45">
      <c r="A40" s="11">
        <v>31</v>
      </c>
      <c r="B40" s="173" t="s">
        <v>463</v>
      </c>
      <c r="C40" s="43" t="s">
        <v>464</v>
      </c>
      <c r="D40" s="22" t="s">
        <v>64</v>
      </c>
      <c r="E40" s="57"/>
      <c r="F40" s="40"/>
      <c r="G40" s="26"/>
      <c r="H40" s="27"/>
      <c r="I40" s="29"/>
      <c r="J40" s="12"/>
      <c r="K40" s="29"/>
      <c r="L40" s="202"/>
      <c r="M40" s="36"/>
      <c r="N40" s="119"/>
      <c r="O40" s="27"/>
      <c r="P40" s="27"/>
      <c r="Q40" s="27"/>
      <c r="R40" s="27"/>
      <c r="S40" s="27"/>
      <c r="T40" s="27"/>
      <c r="U40" s="27"/>
      <c r="V40" s="27"/>
      <c r="W40" s="12">
        <f t="shared" si="5"/>
        <v>0</v>
      </c>
    </row>
    <row r="41" spans="1:23" ht="21" customHeight="1" x14ac:dyDescent="0.45">
      <c r="A41" s="11"/>
      <c r="B41" s="173"/>
      <c r="C41" s="43"/>
      <c r="D41" s="178"/>
      <c r="E41" s="57"/>
      <c r="F41" s="40"/>
      <c r="G41" s="26"/>
      <c r="H41" s="27"/>
      <c r="I41" s="29"/>
      <c r="J41" s="12"/>
      <c r="K41" s="29"/>
      <c r="L41" s="202"/>
      <c r="M41" s="36"/>
      <c r="N41" s="119"/>
      <c r="O41" s="27"/>
      <c r="P41" s="27"/>
      <c r="Q41" s="27"/>
      <c r="R41" s="27"/>
      <c r="S41" s="27"/>
      <c r="T41" s="27"/>
      <c r="U41" s="27"/>
      <c r="V41" s="27"/>
      <c r="W41" s="12"/>
    </row>
    <row r="42" spans="1:23" ht="21" customHeight="1" x14ac:dyDescent="0.45">
      <c r="A42" s="11"/>
      <c r="B42" s="43"/>
      <c r="C42" s="43"/>
      <c r="D42" s="43"/>
      <c r="E42" s="57"/>
      <c r="F42" s="40"/>
      <c r="G42" s="26"/>
      <c r="H42" s="27"/>
      <c r="I42" s="27"/>
      <c r="J42" s="12"/>
      <c r="K42" s="29"/>
      <c r="L42" s="202"/>
      <c r="M42" s="36"/>
      <c r="N42" s="119"/>
      <c r="O42" s="27"/>
      <c r="P42" s="27"/>
      <c r="Q42" s="27"/>
      <c r="R42" s="27"/>
      <c r="S42" s="27"/>
      <c r="T42" s="27"/>
      <c r="U42" s="27"/>
      <c r="V42" s="27"/>
      <c r="W42" s="12"/>
    </row>
    <row r="43" spans="1:23" s="14" customFormat="1" x14ac:dyDescent="0.45">
      <c r="A43" s="253" t="s">
        <v>58</v>
      </c>
      <c r="B43" s="278"/>
      <c r="C43" s="278"/>
      <c r="D43" s="278"/>
      <c r="E43" s="31">
        <f>SUM(E26:E40)</f>
        <v>30</v>
      </c>
      <c r="F43" s="31">
        <f t="shared" ref="F43:U43" si="6">SUM(F26:F40)</f>
        <v>0</v>
      </c>
      <c r="G43" s="31">
        <f t="shared" si="6"/>
        <v>0</v>
      </c>
      <c r="H43" s="31">
        <f>SUM(H26:H40)</f>
        <v>50</v>
      </c>
      <c r="I43" s="31">
        <f>SUM(I26:I40)</f>
        <v>0</v>
      </c>
      <c r="J43" s="31">
        <f t="shared" si="6"/>
        <v>5</v>
      </c>
      <c r="K43" s="31">
        <f t="shared" si="6"/>
        <v>500</v>
      </c>
      <c r="L43" s="233">
        <f t="shared" si="6"/>
        <v>3</v>
      </c>
      <c r="M43" s="52">
        <f t="shared" si="6"/>
        <v>0</v>
      </c>
      <c r="N43" s="112">
        <f t="shared" si="6"/>
        <v>1</v>
      </c>
      <c r="O43" s="234">
        <f t="shared" si="6"/>
        <v>1</v>
      </c>
      <c r="P43" s="33">
        <f t="shared" si="6"/>
        <v>1</v>
      </c>
      <c r="Q43" s="234">
        <f t="shared" si="6"/>
        <v>4</v>
      </c>
      <c r="R43" s="33">
        <f t="shared" si="6"/>
        <v>1</v>
      </c>
      <c r="S43" s="234">
        <f t="shared" si="6"/>
        <v>0</v>
      </c>
      <c r="T43" s="234">
        <f t="shared" si="6"/>
        <v>2</v>
      </c>
      <c r="U43" s="33">
        <f t="shared" si="6"/>
        <v>1</v>
      </c>
      <c r="V43" s="33">
        <f>SUM(V26:V40)</f>
        <v>1</v>
      </c>
      <c r="W43" s="35">
        <f>SUM(W26:W42)</f>
        <v>576</v>
      </c>
    </row>
  </sheetData>
  <mergeCells count="29">
    <mergeCell ref="A1:W1"/>
    <mergeCell ref="A2:W2"/>
    <mergeCell ref="A3:A7"/>
    <mergeCell ref="B3:C7"/>
    <mergeCell ref="D3:M3"/>
    <mergeCell ref="N3:W3"/>
    <mergeCell ref="D4:D7"/>
    <mergeCell ref="E4:E7"/>
    <mergeCell ref="F4:F7"/>
    <mergeCell ref="G4:G7"/>
    <mergeCell ref="W4:W7"/>
    <mergeCell ref="M4:M7"/>
    <mergeCell ref="N4:N7"/>
    <mergeCell ref="O4:O7"/>
    <mergeCell ref="P4:P7"/>
    <mergeCell ref="Q4:Q7"/>
    <mergeCell ref="A43:D43"/>
    <mergeCell ref="R4:R7"/>
    <mergeCell ref="U4:U7"/>
    <mergeCell ref="V4:V7"/>
    <mergeCell ref="H4:H7"/>
    <mergeCell ref="I4:I7"/>
    <mergeCell ref="J4:J7"/>
    <mergeCell ref="K4:K7"/>
    <mergeCell ref="L4:L7"/>
    <mergeCell ref="S4:S7"/>
    <mergeCell ref="A25:D25"/>
    <mergeCell ref="A26:D26"/>
    <mergeCell ref="T4:T7"/>
  </mergeCells>
  <phoneticPr fontId="20" type="noConversion"/>
  <pageMargins left="0.19685039370078741" right="0" top="0.59055118110236227" bottom="0.39370078740157483" header="0.31496062992125984" footer="0.31496062992125984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V26"/>
  <sheetViews>
    <sheetView zoomScale="82" zoomScaleNormal="82" workbookViewId="0">
      <pane xSplit="3" ySplit="7" topLeftCell="D19" activePane="bottomRight" state="frozen"/>
      <selection pane="topRight" activeCell="D1" sqref="D1"/>
      <selection pane="bottomLeft" activeCell="A8" sqref="A8"/>
      <selection pane="bottomRight" activeCell="O20" sqref="O20"/>
    </sheetView>
  </sheetViews>
  <sheetFormatPr defaultColWidth="9" defaultRowHeight="21" x14ac:dyDescent="0.45"/>
  <cols>
    <col min="1" max="1" width="3" style="9" customWidth="1"/>
    <col min="2" max="2" width="13.625" style="3" customWidth="1"/>
    <col min="3" max="3" width="12.625" style="3" customWidth="1"/>
    <col min="4" max="4" width="16" style="3" bestFit="1" customWidth="1"/>
    <col min="5" max="5" width="9.875" style="34" customWidth="1"/>
    <col min="6" max="7" width="3.625" style="3" customWidth="1"/>
    <col min="8" max="8" width="8.5" style="3" customWidth="1"/>
    <col min="9" max="9" width="8.625" style="34" customWidth="1"/>
    <col min="10" max="10" width="8.625" style="3" customWidth="1"/>
    <col min="11" max="11" width="7.625" style="34" customWidth="1"/>
    <col min="12" max="14" width="3.625" style="3" customWidth="1"/>
    <col min="15" max="15" width="7.625" style="3" customWidth="1"/>
    <col min="16" max="16" width="4.625" style="3" customWidth="1"/>
    <col min="17" max="18" width="4.625" style="34" customWidth="1"/>
    <col min="19" max="21" width="7.625" style="34" customWidth="1"/>
    <col min="22" max="22" width="10.75" style="3" customWidth="1"/>
    <col min="23" max="16384" width="9" style="3"/>
  </cols>
  <sheetData>
    <row r="1" spans="1:22" ht="23.25" x14ac:dyDescent="0.5">
      <c r="A1" s="251" t="s">
        <v>71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</row>
    <row r="2" spans="1:22" ht="23.25" x14ac:dyDescent="0.5">
      <c r="A2" s="263" t="str">
        <f>[1]ข้าราชการ!A2</f>
        <v>ประจำเดือนพฤศจิกายน  2568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</row>
    <row r="3" spans="1:22" x14ac:dyDescent="0.45">
      <c r="A3" s="254" t="s">
        <v>8</v>
      </c>
      <c r="B3" s="257" t="s">
        <v>1</v>
      </c>
      <c r="C3" s="258"/>
      <c r="D3" s="252" t="s">
        <v>9</v>
      </c>
      <c r="E3" s="252"/>
      <c r="F3" s="252"/>
      <c r="G3" s="252"/>
      <c r="H3" s="252"/>
      <c r="I3" s="252"/>
      <c r="J3" s="252"/>
      <c r="K3" s="252"/>
      <c r="L3" s="252"/>
      <c r="M3" s="253"/>
      <c r="N3" s="267" t="s">
        <v>10</v>
      </c>
      <c r="O3" s="252"/>
      <c r="P3" s="252"/>
      <c r="Q3" s="252"/>
      <c r="R3" s="252"/>
      <c r="S3" s="252"/>
      <c r="T3" s="252"/>
      <c r="U3" s="252"/>
      <c r="V3" s="252"/>
    </row>
    <row r="4" spans="1:22" ht="21" customHeight="1" x14ac:dyDescent="0.45">
      <c r="A4" s="255"/>
      <c r="B4" s="259"/>
      <c r="C4" s="260"/>
      <c r="D4" s="254" t="s">
        <v>2</v>
      </c>
      <c r="E4" s="294" t="s">
        <v>3</v>
      </c>
      <c r="F4" s="283" t="s">
        <v>4</v>
      </c>
      <c r="G4" s="297" t="s">
        <v>107</v>
      </c>
      <c r="H4" s="290" t="s">
        <v>633</v>
      </c>
      <c r="I4" s="248" t="s">
        <v>630</v>
      </c>
      <c r="J4" s="268" t="s">
        <v>631</v>
      </c>
      <c r="K4" s="248" t="s">
        <v>5</v>
      </c>
      <c r="L4" s="283" t="s">
        <v>6</v>
      </c>
      <c r="M4" s="287" t="s">
        <v>7</v>
      </c>
      <c r="N4" s="266" t="s">
        <v>52</v>
      </c>
      <c r="O4" s="264" t="s">
        <v>109</v>
      </c>
      <c r="P4" s="264" t="s">
        <v>54</v>
      </c>
      <c r="Q4" s="265" t="s">
        <v>214</v>
      </c>
      <c r="R4" s="265" t="s">
        <v>55</v>
      </c>
      <c r="S4" s="265" t="s">
        <v>377</v>
      </c>
      <c r="T4" s="265" t="s">
        <v>56</v>
      </c>
      <c r="U4" s="265" t="s">
        <v>57</v>
      </c>
      <c r="V4" s="264" t="s">
        <v>59</v>
      </c>
    </row>
    <row r="5" spans="1:22" ht="21" customHeight="1" x14ac:dyDescent="0.45">
      <c r="A5" s="255"/>
      <c r="B5" s="259"/>
      <c r="C5" s="260"/>
      <c r="D5" s="255"/>
      <c r="E5" s="295"/>
      <c r="F5" s="281"/>
      <c r="G5" s="298"/>
      <c r="H5" s="291"/>
      <c r="I5" s="249"/>
      <c r="J5" s="269"/>
      <c r="K5" s="249"/>
      <c r="L5" s="281"/>
      <c r="M5" s="288"/>
      <c r="N5" s="266"/>
      <c r="O5" s="264"/>
      <c r="P5" s="264"/>
      <c r="Q5" s="265"/>
      <c r="R5" s="265"/>
      <c r="S5" s="265"/>
      <c r="T5" s="265"/>
      <c r="U5" s="265"/>
      <c r="V5" s="264"/>
    </row>
    <row r="6" spans="1:22" ht="21" customHeight="1" x14ac:dyDescent="0.45">
      <c r="A6" s="255"/>
      <c r="B6" s="259"/>
      <c r="C6" s="260"/>
      <c r="D6" s="255"/>
      <c r="E6" s="295"/>
      <c r="F6" s="281"/>
      <c r="G6" s="298"/>
      <c r="H6" s="291"/>
      <c r="I6" s="249"/>
      <c r="J6" s="269"/>
      <c r="K6" s="249"/>
      <c r="L6" s="281"/>
      <c r="M6" s="288"/>
      <c r="N6" s="266"/>
      <c r="O6" s="264"/>
      <c r="P6" s="264"/>
      <c r="Q6" s="265"/>
      <c r="R6" s="265"/>
      <c r="S6" s="265"/>
      <c r="T6" s="265"/>
      <c r="U6" s="265"/>
      <c r="V6" s="264"/>
    </row>
    <row r="7" spans="1:22" ht="21" customHeight="1" x14ac:dyDescent="0.45">
      <c r="A7" s="256"/>
      <c r="B7" s="261"/>
      <c r="C7" s="262"/>
      <c r="D7" s="256"/>
      <c r="E7" s="296"/>
      <c r="F7" s="282"/>
      <c r="G7" s="299"/>
      <c r="H7" s="292"/>
      <c r="I7" s="250"/>
      <c r="J7" s="270"/>
      <c r="K7" s="250"/>
      <c r="L7" s="282"/>
      <c r="M7" s="289"/>
      <c r="N7" s="266"/>
      <c r="O7" s="264"/>
      <c r="P7" s="264"/>
      <c r="Q7" s="265"/>
      <c r="R7" s="265"/>
      <c r="S7" s="265"/>
      <c r="T7" s="265"/>
      <c r="U7" s="265"/>
      <c r="V7" s="264"/>
    </row>
    <row r="8" spans="1:22" ht="21.95" customHeight="1" x14ac:dyDescent="0.45">
      <c r="A8" s="11">
        <v>1</v>
      </c>
      <c r="B8" s="25" t="s">
        <v>383</v>
      </c>
      <c r="C8" s="37" t="s">
        <v>384</v>
      </c>
      <c r="D8" s="176" t="s">
        <v>232</v>
      </c>
      <c r="E8" s="57"/>
      <c r="F8" s="40"/>
      <c r="G8" s="26"/>
      <c r="H8" s="27"/>
      <c r="I8" s="27"/>
      <c r="J8" s="12"/>
      <c r="K8" s="27"/>
      <c r="L8" s="8"/>
      <c r="M8" s="36"/>
      <c r="N8" s="28"/>
      <c r="O8" s="12"/>
      <c r="P8" s="8"/>
      <c r="Q8" s="27"/>
      <c r="R8" s="27"/>
      <c r="S8" s="27"/>
      <c r="T8" s="29"/>
      <c r="U8" s="29"/>
      <c r="V8" s="12">
        <f t="shared" ref="V8:V25" si="0">E8+F8+G8+H8+I8+J8+K8+L8+M8-N8-O8-P8-Q8-R8-S8-T8-U8</f>
        <v>0</v>
      </c>
    </row>
    <row r="9" spans="1:22" ht="21.95" customHeight="1" x14ac:dyDescent="0.45">
      <c r="A9" s="11">
        <v>2</v>
      </c>
      <c r="B9" s="25" t="s">
        <v>473</v>
      </c>
      <c r="C9" s="37" t="s">
        <v>365</v>
      </c>
      <c r="D9" s="176" t="s">
        <v>232</v>
      </c>
      <c r="E9" s="57"/>
      <c r="F9" s="40"/>
      <c r="G9" s="26"/>
      <c r="H9" s="27"/>
      <c r="I9" s="27"/>
      <c r="J9" s="27"/>
      <c r="K9" s="27"/>
      <c r="L9" s="8"/>
      <c r="M9" s="36"/>
      <c r="N9" s="28"/>
      <c r="O9" s="12"/>
      <c r="P9" s="8"/>
      <c r="Q9" s="27"/>
      <c r="R9" s="27"/>
      <c r="S9" s="27"/>
      <c r="T9" s="27"/>
      <c r="U9" s="27"/>
      <c r="V9" s="12">
        <f t="shared" si="0"/>
        <v>0</v>
      </c>
    </row>
    <row r="10" spans="1:22" ht="21.95" customHeight="1" x14ac:dyDescent="0.45">
      <c r="A10" s="11">
        <v>3</v>
      </c>
      <c r="B10" s="25" t="s">
        <v>474</v>
      </c>
      <c r="C10" s="37" t="s">
        <v>475</v>
      </c>
      <c r="D10" s="176" t="s">
        <v>176</v>
      </c>
      <c r="E10" s="57"/>
      <c r="F10" s="40"/>
      <c r="G10" s="26"/>
      <c r="H10" s="8"/>
      <c r="I10" s="27"/>
      <c r="J10" s="27"/>
      <c r="K10" s="27"/>
      <c r="L10" s="8"/>
      <c r="M10" s="36"/>
      <c r="N10" s="28"/>
      <c r="O10" s="12"/>
      <c r="P10" s="8"/>
      <c r="Q10" s="27"/>
      <c r="R10" s="27"/>
      <c r="S10" s="27"/>
      <c r="T10" s="27"/>
      <c r="U10" s="27"/>
      <c r="V10" s="12">
        <f t="shared" si="0"/>
        <v>0</v>
      </c>
    </row>
    <row r="11" spans="1:22" ht="21.95" customHeight="1" x14ac:dyDescent="0.45">
      <c r="A11" s="11">
        <v>4</v>
      </c>
      <c r="B11" s="25" t="s">
        <v>507</v>
      </c>
      <c r="C11" s="37" t="s">
        <v>508</v>
      </c>
      <c r="D11" s="176" t="s">
        <v>328</v>
      </c>
      <c r="E11" s="57"/>
      <c r="F11" s="40"/>
      <c r="G11" s="26"/>
      <c r="H11" s="27"/>
      <c r="I11" s="27"/>
      <c r="J11" s="27"/>
      <c r="K11" s="27"/>
      <c r="L11" s="8"/>
      <c r="M11" s="36"/>
      <c r="N11" s="28"/>
      <c r="O11" s="12"/>
      <c r="P11" s="8"/>
      <c r="Q11" s="27"/>
      <c r="R11" s="27"/>
      <c r="S11" s="27"/>
      <c r="T11" s="27"/>
      <c r="U11" s="27"/>
      <c r="V11" s="12">
        <f t="shared" si="0"/>
        <v>0</v>
      </c>
    </row>
    <row r="12" spans="1:22" ht="21.95" customHeight="1" x14ac:dyDescent="0.45">
      <c r="A12" s="11">
        <v>5</v>
      </c>
      <c r="B12" s="25" t="s">
        <v>505</v>
      </c>
      <c r="C12" s="37" t="s">
        <v>506</v>
      </c>
      <c r="D12" s="176" t="s">
        <v>328</v>
      </c>
      <c r="E12" s="57"/>
      <c r="F12" s="40"/>
      <c r="G12" s="26"/>
      <c r="H12" s="27"/>
      <c r="I12" s="27"/>
      <c r="J12" s="27"/>
      <c r="K12" s="27"/>
      <c r="L12" s="8"/>
      <c r="M12" s="36"/>
      <c r="N12" s="28"/>
      <c r="O12" s="12"/>
      <c r="P12" s="8"/>
      <c r="Q12" s="27"/>
      <c r="R12" s="27"/>
      <c r="S12" s="27"/>
      <c r="T12" s="27"/>
      <c r="U12" s="27"/>
      <c r="V12" s="12">
        <f t="shared" si="0"/>
        <v>0</v>
      </c>
    </row>
    <row r="13" spans="1:22" ht="21.95" customHeight="1" x14ac:dyDescent="0.45">
      <c r="A13" s="11">
        <v>6</v>
      </c>
      <c r="B13" s="206" t="s">
        <v>547</v>
      </c>
      <c r="C13" s="128" t="s">
        <v>548</v>
      </c>
      <c r="D13" s="176" t="s">
        <v>328</v>
      </c>
      <c r="E13" s="57"/>
      <c r="F13" s="40"/>
      <c r="G13" s="26"/>
      <c r="H13" s="27"/>
      <c r="I13" s="27"/>
      <c r="J13" s="27"/>
      <c r="K13" s="27"/>
      <c r="L13" s="8"/>
      <c r="M13" s="36"/>
      <c r="N13" s="28"/>
      <c r="O13" s="12"/>
      <c r="P13" s="8"/>
      <c r="Q13" s="27"/>
      <c r="R13" s="27"/>
      <c r="S13" s="27"/>
      <c r="T13" s="27"/>
      <c r="U13" s="27"/>
      <c r="V13" s="12">
        <f t="shared" si="0"/>
        <v>0</v>
      </c>
    </row>
    <row r="14" spans="1:22" ht="21.95" customHeight="1" x14ac:dyDescent="0.45">
      <c r="A14" s="11">
        <v>7</v>
      </c>
      <c r="B14" s="206" t="s">
        <v>549</v>
      </c>
      <c r="C14" s="128" t="s">
        <v>550</v>
      </c>
      <c r="D14" s="176" t="s">
        <v>328</v>
      </c>
      <c r="E14" s="57"/>
      <c r="F14" s="40"/>
      <c r="G14" s="26"/>
      <c r="H14" s="27"/>
      <c r="I14" s="27"/>
      <c r="J14" s="27"/>
      <c r="K14" s="27"/>
      <c r="L14" s="8"/>
      <c r="M14" s="36"/>
      <c r="N14" s="28"/>
      <c r="O14" s="12"/>
      <c r="P14" s="8"/>
      <c r="Q14" s="27"/>
      <c r="R14" s="27"/>
      <c r="S14" s="27"/>
      <c r="T14" s="27"/>
      <c r="U14" s="27"/>
      <c r="V14" s="12">
        <f t="shared" si="0"/>
        <v>0</v>
      </c>
    </row>
    <row r="15" spans="1:22" ht="21.95" customHeight="1" x14ac:dyDescent="0.45">
      <c r="A15" s="11">
        <v>8</v>
      </c>
      <c r="B15" s="173" t="s">
        <v>509</v>
      </c>
      <c r="C15" s="43" t="s">
        <v>510</v>
      </c>
      <c r="D15" s="183" t="s">
        <v>94</v>
      </c>
      <c r="E15" s="57"/>
      <c r="F15" s="40"/>
      <c r="G15" s="26"/>
      <c r="H15" s="27"/>
      <c r="I15" s="27"/>
      <c r="J15" s="27"/>
      <c r="K15" s="27"/>
      <c r="L15" s="8"/>
      <c r="M15" s="36"/>
      <c r="N15" s="28"/>
      <c r="O15" s="12"/>
      <c r="P15" s="8"/>
      <c r="Q15" s="27"/>
      <c r="R15" s="27"/>
      <c r="S15" s="27"/>
      <c r="T15" s="27"/>
      <c r="U15" s="27"/>
      <c r="V15" s="12">
        <f t="shared" si="0"/>
        <v>0</v>
      </c>
    </row>
    <row r="16" spans="1:22" ht="21.95" customHeight="1" x14ac:dyDescent="0.45">
      <c r="A16" s="11">
        <v>9</v>
      </c>
      <c r="B16" s="173" t="s">
        <v>461</v>
      </c>
      <c r="C16" s="43" t="s">
        <v>462</v>
      </c>
      <c r="D16" s="8" t="s">
        <v>65</v>
      </c>
      <c r="E16" s="57"/>
      <c r="F16" s="40"/>
      <c r="G16" s="26"/>
      <c r="H16" s="27"/>
      <c r="I16" s="27"/>
      <c r="J16" s="27"/>
      <c r="K16" s="27"/>
      <c r="L16" s="8"/>
      <c r="M16" s="36"/>
      <c r="N16" s="28"/>
      <c r="O16" s="12"/>
      <c r="P16" s="8"/>
      <c r="Q16" s="27"/>
      <c r="R16" s="27"/>
      <c r="S16" s="27"/>
      <c r="T16" s="27"/>
      <c r="U16" s="27"/>
      <c r="V16" s="12">
        <f t="shared" si="0"/>
        <v>0</v>
      </c>
    </row>
    <row r="17" spans="1:22" ht="21.95" customHeight="1" x14ac:dyDescent="0.45">
      <c r="A17" s="11">
        <v>10</v>
      </c>
      <c r="B17" s="36" t="s">
        <v>311</v>
      </c>
      <c r="C17" s="7" t="s">
        <v>225</v>
      </c>
      <c r="D17" s="19" t="s">
        <v>321</v>
      </c>
      <c r="E17" s="57"/>
      <c r="F17" s="40"/>
      <c r="G17" s="26"/>
      <c r="H17" s="27"/>
      <c r="I17" s="27"/>
      <c r="J17" s="27"/>
      <c r="K17" s="27"/>
      <c r="L17" s="8"/>
      <c r="M17" s="36"/>
      <c r="N17" s="28"/>
      <c r="O17" s="12"/>
      <c r="P17" s="8"/>
      <c r="Q17" s="27"/>
      <c r="R17" s="27"/>
      <c r="S17" s="27"/>
      <c r="T17" s="27"/>
      <c r="U17" s="27"/>
      <c r="V17" s="12">
        <f t="shared" si="0"/>
        <v>0</v>
      </c>
    </row>
    <row r="18" spans="1:22" ht="21.95" customHeight="1" x14ac:dyDescent="0.45">
      <c r="A18" s="11">
        <v>11</v>
      </c>
      <c r="B18" s="36" t="s">
        <v>229</v>
      </c>
      <c r="C18" s="43" t="s">
        <v>230</v>
      </c>
      <c r="D18" s="8" t="s">
        <v>167</v>
      </c>
      <c r="E18" s="57"/>
      <c r="F18" s="40"/>
      <c r="G18" s="26"/>
      <c r="H18" s="27"/>
      <c r="I18" s="27"/>
      <c r="J18" s="27"/>
      <c r="K18" s="27"/>
      <c r="L18" s="8"/>
      <c r="M18" s="36"/>
      <c r="N18" s="28"/>
      <c r="O18" s="12"/>
      <c r="P18" s="8"/>
      <c r="Q18" s="27"/>
      <c r="R18" s="27"/>
      <c r="S18" s="27"/>
      <c r="T18" s="27"/>
      <c r="U18" s="27"/>
      <c r="V18" s="12">
        <f t="shared" si="0"/>
        <v>0</v>
      </c>
    </row>
    <row r="19" spans="1:22" ht="21.95" customHeight="1" x14ac:dyDescent="0.45">
      <c r="A19" s="11">
        <v>12</v>
      </c>
      <c r="B19" s="36" t="s">
        <v>282</v>
      </c>
      <c r="C19" s="43" t="s">
        <v>283</v>
      </c>
      <c r="D19" s="8" t="s">
        <v>165</v>
      </c>
      <c r="E19" s="57">
        <v>4</v>
      </c>
      <c r="F19" s="40"/>
      <c r="G19" s="26"/>
      <c r="H19" s="27"/>
      <c r="I19" s="27"/>
      <c r="J19" s="27"/>
      <c r="K19" s="27"/>
      <c r="L19" s="8"/>
      <c r="M19" s="36"/>
      <c r="N19" s="28"/>
      <c r="O19" s="12">
        <v>1</v>
      </c>
      <c r="P19" s="8"/>
      <c r="Q19" s="27"/>
      <c r="R19" s="27"/>
      <c r="S19" s="27"/>
      <c r="T19" s="27"/>
      <c r="U19" s="27"/>
      <c r="V19" s="12">
        <f t="shared" si="0"/>
        <v>3</v>
      </c>
    </row>
    <row r="20" spans="1:22" ht="21.95" customHeight="1" x14ac:dyDescent="0.45">
      <c r="A20" s="11">
        <v>13</v>
      </c>
      <c r="B20" s="36" t="s">
        <v>233</v>
      </c>
      <c r="C20" s="7" t="s">
        <v>234</v>
      </c>
      <c r="D20" s="139" t="s">
        <v>235</v>
      </c>
      <c r="E20" s="57"/>
      <c r="F20" s="40"/>
      <c r="G20" s="26"/>
      <c r="H20" s="27"/>
      <c r="I20" s="27"/>
      <c r="J20" s="27"/>
      <c r="K20" s="27"/>
      <c r="L20" s="8"/>
      <c r="M20" s="36"/>
      <c r="N20" s="28"/>
      <c r="O20" s="12"/>
      <c r="P20" s="8"/>
      <c r="Q20" s="27"/>
      <c r="R20" s="27"/>
      <c r="S20" s="27"/>
      <c r="T20" s="27"/>
      <c r="U20" s="27"/>
      <c r="V20" s="12">
        <f t="shared" si="0"/>
        <v>0</v>
      </c>
    </row>
    <row r="21" spans="1:22" ht="21.95" customHeight="1" x14ac:dyDescent="0.45">
      <c r="A21" s="11">
        <v>14</v>
      </c>
      <c r="B21" s="43" t="s">
        <v>418</v>
      </c>
      <c r="C21" s="43" t="s">
        <v>419</v>
      </c>
      <c r="D21" s="244" t="s">
        <v>179</v>
      </c>
      <c r="E21" s="57"/>
      <c r="F21" s="40"/>
      <c r="G21" s="26"/>
      <c r="H21" s="27"/>
      <c r="I21" s="27"/>
      <c r="J21" s="27"/>
      <c r="K21" s="27"/>
      <c r="L21" s="8"/>
      <c r="M21" s="36"/>
      <c r="N21" s="28"/>
      <c r="O21" s="12"/>
      <c r="P21" s="8"/>
      <c r="Q21" s="27"/>
      <c r="R21" s="27"/>
      <c r="S21" s="27"/>
      <c r="T21" s="27"/>
      <c r="U21" s="27"/>
      <c r="V21" s="12">
        <f t="shared" si="0"/>
        <v>0</v>
      </c>
    </row>
    <row r="22" spans="1:22" ht="21.95" customHeight="1" x14ac:dyDescent="0.45">
      <c r="A22" s="11">
        <v>15</v>
      </c>
      <c r="B22" s="43" t="s">
        <v>380</v>
      </c>
      <c r="C22" s="43" t="s">
        <v>381</v>
      </c>
      <c r="D22" s="244" t="s">
        <v>179</v>
      </c>
      <c r="E22" s="57"/>
      <c r="F22" s="40"/>
      <c r="G22" s="26"/>
      <c r="H22" s="27"/>
      <c r="I22" s="27"/>
      <c r="J22" s="27"/>
      <c r="K22" s="27"/>
      <c r="L22" s="8"/>
      <c r="M22" s="36"/>
      <c r="N22" s="28"/>
      <c r="O22" s="12"/>
      <c r="P22" s="8"/>
      <c r="Q22" s="27"/>
      <c r="R22" s="27"/>
      <c r="S22" s="27"/>
      <c r="T22" s="27"/>
      <c r="U22" s="27"/>
      <c r="V22" s="12">
        <f t="shared" si="0"/>
        <v>0</v>
      </c>
    </row>
    <row r="23" spans="1:22" ht="21.95" customHeight="1" x14ac:dyDescent="0.45">
      <c r="A23" s="11">
        <v>16</v>
      </c>
      <c r="B23" s="36" t="s">
        <v>236</v>
      </c>
      <c r="C23" s="7" t="s">
        <v>237</v>
      </c>
      <c r="D23" s="8" t="s">
        <v>165</v>
      </c>
      <c r="E23" s="57"/>
      <c r="F23" s="40"/>
      <c r="G23" s="26"/>
      <c r="H23" s="27"/>
      <c r="I23" s="27"/>
      <c r="J23" s="27"/>
      <c r="K23" s="27"/>
      <c r="L23" s="8"/>
      <c r="M23" s="36"/>
      <c r="N23" s="28"/>
      <c r="O23" s="12"/>
      <c r="P23" s="8"/>
      <c r="Q23" s="27"/>
      <c r="R23" s="27"/>
      <c r="S23" s="27"/>
      <c r="T23" s="27"/>
      <c r="U23" s="27"/>
      <c r="V23" s="12">
        <f t="shared" si="0"/>
        <v>0</v>
      </c>
    </row>
    <row r="24" spans="1:22" ht="21" customHeight="1" x14ac:dyDescent="0.45">
      <c r="A24" s="11">
        <v>17</v>
      </c>
      <c r="B24" s="43" t="s">
        <v>405</v>
      </c>
      <c r="C24" s="43" t="s">
        <v>406</v>
      </c>
      <c r="D24" s="8" t="s">
        <v>308</v>
      </c>
      <c r="E24" s="57"/>
      <c r="F24" s="40"/>
      <c r="G24" s="26"/>
      <c r="H24" s="8"/>
      <c r="I24" s="27"/>
      <c r="J24" s="27"/>
      <c r="K24" s="27"/>
      <c r="L24" s="8"/>
      <c r="M24" s="36"/>
      <c r="N24" s="28"/>
      <c r="O24" s="12"/>
      <c r="P24" s="8"/>
      <c r="Q24" s="27"/>
      <c r="R24" s="27"/>
      <c r="S24" s="27"/>
      <c r="T24" s="27"/>
      <c r="U24" s="27"/>
      <c r="V24" s="12">
        <f t="shared" si="0"/>
        <v>0</v>
      </c>
    </row>
    <row r="25" spans="1:22" ht="21" customHeight="1" x14ac:dyDescent="0.45">
      <c r="A25" s="11">
        <v>18</v>
      </c>
      <c r="B25" s="173" t="s">
        <v>455</v>
      </c>
      <c r="C25" s="43" t="s">
        <v>456</v>
      </c>
      <c r="D25" s="8" t="s">
        <v>308</v>
      </c>
      <c r="E25" s="57"/>
      <c r="F25" s="40"/>
      <c r="G25" s="26"/>
      <c r="H25" s="8"/>
      <c r="I25" s="27"/>
      <c r="J25" s="27"/>
      <c r="K25" s="27"/>
      <c r="L25" s="8"/>
      <c r="M25" s="36"/>
      <c r="N25" s="28"/>
      <c r="O25" s="12"/>
      <c r="P25" s="8"/>
      <c r="Q25" s="27"/>
      <c r="R25" s="27"/>
      <c r="S25" s="27"/>
      <c r="T25" s="27"/>
      <c r="U25" s="27"/>
      <c r="V25" s="12">
        <f t="shared" si="0"/>
        <v>0</v>
      </c>
    </row>
    <row r="26" spans="1:22" s="14" customFormat="1" x14ac:dyDescent="0.45">
      <c r="A26" s="253" t="s">
        <v>58</v>
      </c>
      <c r="B26" s="278"/>
      <c r="C26" s="278"/>
      <c r="D26" s="278"/>
      <c r="E26" s="31">
        <f t="shared" ref="E26:K26" si="1">SUM(E8:E25)</f>
        <v>4</v>
      </c>
      <c r="F26" s="31">
        <f t="shared" si="1"/>
        <v>0</v>
      </c>
      <c r="G26" s="31">
        <f t="shared" si="1"/>
        <v>0</v>
      </c>
      <c r="H26" s="31">
        <f t="shared" si="1"/>
        <v>0</v>
      </c>
      <c r="I26" s="31">
        <f t="shared" si="1"/>
        <v>0</v>
      </c>
      <c r="J26" s="31">
        <f t="shared" si="1"/>
        <v>0</v>
      </c>
      <c r="K26" s="31">
        <f t="shared" si="1"/>
        <v>0</v>
      </c>
      <c r="L26" s="31">
        <f>SUM(L9:L25)</f>
        <v>0</v>
      </c>
      <c r="M26" s="52">
        <f>SUM(M9:M25)</f>
        <v>0</v>
      </c>
      <c r="N26" s="53">
        <f>SUM(N9:N25)</f>
        <v>0</v>
      </c>
      <c r="O26" s="31">
        <f t="shared" ref="O26:U26" si="2">SUM(O8:O25)</f>
        <v>1</v>
      </c>
      <c r="P26" s="31">
        <f t="shared" si="2"/>
        <v>0</v>
      </c>
      <c r="Q26" s="31">
        <f t="shared" si="2"/>
        <v>0</v>
      </c>
      <c r="R26" s="31">
        <f t="shared" si="2"/>
        <v>0</v>
      </c>
      <c r="S26" s="31">
        <f t="shared" si="2"/>
        <v>0</v>
      </c>
      <c r="T26" s="31">
        <f t="shared" si="2"/>
        <v>0</v>
      </c>
      <c r="U26" s="31">
        <f t="shared" si="2"/>
        <v>0</v>
      </c>
      <c r="V26" s="235">
        <f>SUM(V8:V25)</f>
        <v>3</v>
      </c>
    </row>
  </sheetData>
  <mergeCells count="26">
    <mergeCell ref="A3:A7"/>
    <mergeCell ref="B3:C7"/>
    <mergeCell ref="D3:M3"/>
    <mergeCell ref="A26:D26"/>
    <mergeCell ref="P4:P7"/>
    <mergeCell ref="L4:L7"/>
    <mergeCell ref="M4:M7"/>
    <mergeCell ref="N4:N7"/>
    <mergeCell ref="J4:J7"/>
    <mergeCell ref="K4:K7"/>
    <mergeCell ref="A1:V1"/>
    <mergeCell ref="A2:V2"/>
    <mergeCell ref="N3:V3"/>
    <mergeCell ref="D4:D7"/>
    <mergeCell ref="E4:E7"/>
    <mergeCell ref="F4:F7"/>
    <mergeCell ref="G4:G7"/>
    <mergeCell ref="H4:H7"/>
    <mergeCell ref="I4:I7"/>
    <mergeCell ref="U4:U7"/>
    <mergeCell ref="V4:V7"/>
    <mergeCell ref="O4:O7"/>
    <mergeCell ref="T4:T7"/>
    <mergeCell ref="S4:S7"/>
    <mergeCell ref="Q4:Q7"/>
    <mergeCell ref="R4:R7"/>
  </mergeCells>
  <phoneticPr fontId="20" type="noConversion"/>
  <pageMargins left="0" right="0" top="0.39370078740157483" bottom="0.19685039370078741" header="0.31496062992125984" footer="0.31496062992125984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Y56"/>
  <sheetViews>
    <sheetView zoomScale="90" zoomScaleNormal="9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E11" sqref="E11"/>
    </sheetView>
  </sheetViews>
  <sheetFormatPr defaultColWidth="9" defaultRowHeight="21" x14ac:dyDescent="0.45"/>
  <cols>
    <col min="1" max="1" width="3" style="9" customWidth="1"/>
    <col min="2" max="2" width="12" style="3" customWidth="1"/>
    <col min="3" max="3" width="11.625" style="3" customWidth="1"/>
    <col min="4" max="4" width="17.875" style="3" customWidth="1"/>
    <col min="5" max="5" width="9.125" style="34" customWidth="1"/>
    <col min="6" max="6" width="4.25" style="3" bestFit="1" customWidth="1"/>
    <col min="7" max="7" width="5.125" style="3" customWidth="1"/>
    <col min="8" max="8" width="7.375" style="3" customWidth="1"/>
    <col min="9" max="9" width="8.375" style="34" customWidth="1"/>
    <col min="10" max="10" width="8.625" style="3" customWidth="1"/>
    <col min="11" max="11" width="4.625" style="34" customWidth="1"/>
    <col min="12" max="12" width="4.375" style="3" customWidth="1"/>
    <col min="13" max="13" width="5.625" style="3" customWidth="1"/>
    <col min="14" max="14" width="4" style="3" customWidth="1"/>
    <col min="15" max="15" width="7.625" style="3" customWidth="1"/>
    <col min="16" max="16" width="4.625" style="3" customWidth="1"/>
    <col min="17" max="18" width="4.625" style="34" customWidth="1"/>
    <col min="19" max="19" width="6.625" style="34" customWidth="1"/>
    <col min="20" max="21" width="7.625" style="34" customWidth="1"/>
    <col min="22" max="22" width="10.75" style="3" customWidth="1"/>
    <col min="23" max="16384" width="9" style="3"/>
  </cols>
  <sheetData>
    <row r="1" spans="1:25" ht="23.25" x14ac:dyDescent="0.5">
      <c r="A1" s="251" t="s">
        <v>135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"/>
      <c r="X1" s="2"/>
      <c r="Y1" s="2"/>
    </row>
    <row r="2" spans="1:25" ht="23.25" x14ac:dyDescent="0.5">
      <c r="A2" s="263" t="str">
        <f>[1]ข้าราชการ!A2</f>
        <v>ประจำเดือนพฤศจิกายน  2568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</row>
    <row r="3" spans="1:25" x14ac:dyDescent="0.45">
      <c r="A3" s="254" t="s">
        <v>8</v>
      </c>
      <c r="B3" s="257" t="s">
        <v>1</v>
      </c>
      <c r="C3" s="258"/>
      <c r="D3" s="252" t="s">
        <v>9</v>
      </c>
      <c r="E3" s="252"/>
      <c r="F3" s="252"/>
      <c r="G3" s="252"/>
      <c r="H3" s="252"/>
      <c r="I3" s="252"/>
      <c r="J3" s="252"/>
      <c r="K3" s="252"/>
      <c r="L3" s="252"/>
      <c r="M3" s="253"/>
      <c r="N3" s="267" t="s">
        <v>10</v>
      </c>
      <c r="O3" s="252"/>
      <c r="P3" s="252"/>
      <c r="Q3" s="252"/>
      <c r="R3" s="252"/>
      <c r="S3" s="252"/>
      <c r="T3" s="252"/>
      <c r="U3" s="252"/>
      <c r="V3" s="252"/>
    </row>
    <row r="4" spans="1:25" ht="21" customHeight="1" x14ac:dyDescent="0.45">
      <c r="A4" s="255"/>
      <c r="B4" s="259"/>
      <c r="C4" s="260"/>
      <c r="D4" s="254" t="s">
        <v>2</v>
      </c>
      <c r="E4" s="294" t="s">
        <v>3</v>
      </c>
      <c r="F4" s="283" t="s">
        <v>4</v>
      </c>
      <c r="G4" s="290" t="s">
        <v>107</v>
      </c>
      <c r="H4" s="290" t="s">
        <v>633</v>
      </c>
      <c r="I4" s="248" t="s">
        <v>630</v>
      </c>
      <c r="J4" s="268" t="s">
        <v>631</v>
      </c>
      <c r="K4" s="248" t="s">
        <v>5</v>
      </c>
      <c r="L4" s="283" t="s">
        <v>6</v>
      </c>
      <c r="M4" s="287" t="s">
        <v>7</v>
      </c>
      <c r="N4" s="266" t="s">
        <v>52</v>
      </c>
      <c r="O4" s="264" t="s">
        <v>109</v>
      </c>
      <c r="P4" s="264" t="s">
        <v>54</v>
      </c>
      <c r="Q4" s="265" t="s">
        <v>214</v>
      </c>
      <c r="R4" s="265" t="s">
        <v>55</v>
      </c>
      <c r="S4" s="265" t="s">
        <v>377</v>
      </c>
      <c r="T4" s="265" t="s">
        <v>56</v>
      </c>
      <c r="U4" s="265" t="s">
        <v>57</v>
      </c>
      <c r="V4" s="264" t="s">
        <v>59</v>
      </c>
    </row>
    <row r="5" spans="1:25" ht="21" customHeight="1" x14ac:dyDescent="0.45">
      <c r="A5" s="255"/>
      <c r="B5" s="259"/>
      <c r="C5" s="260"/>
      <c r="D5" s="255"/>
      <c r="E5" s="295"/>
      <c r="F5" s="281"/>
      <c r="G5" s="291"/>
      <c r="H5" s="291"/>
      <c r="I5" s="249"/>
      <c r="J5" s="269"/>
      <c r="K5" s="249"/>
      <c r="L5" s="281"/>
      <c r="M5" s="288"/>
      <c r="N5" s="266"/>
      <c r="O5" s="264"/>
      <c r="P5" s="264"/>
      <c r="Q5" s="265"/>
      <c r="R5" s="265"/>
      <c r="S5" s="265"/>
      <c r="T5" s="265"/>
      <c r="U5" s="265"/>
      <c r="V5" s="264"/>
    </row>
    <row r="6" spans="1:25" ht="21" customHeight="1" x14ac:dyDescent="0.45">
      <c r="A6" s="255"/>
      <c r="B6" s="259"/>
      <c r="C6" s="260"/>
      <c r="D6" s="255"/>
      <c r="E6" s="295"/>
      <c r="F6" s="281"/>
      <c r="G6" s="291"/>
      <c r="H6" s="291"/>
      <c r="I6" s="249"/>
      <c r="J6" s="269"/>
      <c r="K6" s="249"/>
      <c r="L6" s="281"/>
      <c r="M6" s="288"/>
      <c r="N6" s="266"/>
      <c r="O6" s="264"/>
      <c r="P6" s="264"/>
      <c r="Q6" s="265"/>
      <c r="R6" s="265"/>
      <c r="S6" s="265"/>
      <c r="T6" s="265"/>
      <c r="U6" s="265"/>
      <c r="V6" s="264"/>
    </row>
    <row r="7" spans="1:25" ht="21" customHeight="1" x14ac:dyDescent="0.45">
      <c r="A7" s="256"/>
      <c r="B7" s="261"/>
      <c r="C7" s="262"/>
      <c r="D7" s="256"/>
      <c r="E7" s="296"/>
      <c r="F7" s="282"/>
      <c r="G7" s="292"/>
      <c r="H7" s="292"/>
      <c r="I7" s="250"/>
      <c r="J7" s="270"/>
      <c r="K7" s="250"/>
      <c r="L7" s="282"/>
      <c r="M7" s="289"/>
      <c r="N7" s="266"/>
      <c r="O7" s="264"/>
      <c r="P7" s="264"/>
      <c r="Q7" s="265"/>
      <c r="R7" s="265"/>
      <c r="S7" s="265"/>
      <c r="T7" s="265"/>
      <c r="U7" s="265"/>
      <c r="V7" s="264"/>
    </row>
    <row r="8" spans="1:25" ht="21" customHeight="1" x14ac:dyDescent="0.45">
      <c r="A8" s="11">
        <v>1</v>
      </c>
      <c r="B8" s="36" t="s">
        <v>258</v>
      </c>
      <c r="C8" s="43" t="s">
        <v>259</v>
      </c>
      <c r="D8" s="22" t="s">
        <v>111</v>
      </c>
      <c r="E8" s="213"/>
      <c r="F8" s="40"/>
      <c r="G8" s="26"/>
      <c r="H8" s="8"/>
      <c r="I8" s="27"/>
      <c r="J8" s="27"/>
      <c r="K8" s="27"/>
      <c r="L8" s="8"/>
      <c r="M8" s="36"/>
      <c r="N8" s="28"/>
      <c r="O8" s="12"/>
      <c r="P8" s="8"/>
      <c r="Q8" s="27"/>
      <c r="R8" s="27"/>
      <c r="S8" s="202"/>
      <c r="T8" s="27"/>
      <c r="U8" s="27"/>
      <c r="V8" s="12">
        <f t="shared" ref="V8:V15" si="0">E8+F8+G8+H8+I8+J8+K8+L8+M8-N8-O8-P8-Q8-R8-S8-T8-U8</f>
        <v>0</v>
      </c>
    </row>
    <row r="9" spans="1:25" ht="21" customHeight="1" x14ac:dyDescent="0.45">
      <c r="A9" s="11">
        <v>2</v>
      </c>
      <c r="B9" s="36" t="s">
        <v>288</v>
      </c>
      <c r="C9" s="43" t="s">
        <v>289</v>
      </c>
      <c r="D9" s="8" t="s">
        <v>167</v>
      </c>
      <c r="E9" s="213"/>
      <c r="F9" s="40"/>
      <c r="G9" s="26"/>
      <c r="H9" s="8"/>
      <c r="I9" s="27"/>
      <c r="J9" s="27"/>
      <c r="K9" s="27"/>
      <c r="L9" s="8"/>
      <c r="M9" s="36"/>
      <c r="N9" s="28"/>
      <c r="O9" s="12"/>
      <c r="P9" s="8"/>
      <c r="Q9" s="27"/>
      <c r="R9" s="27"/>
      <c r="S9" s="27"/>
      <c r="T9" s="27"/>
      <c r="U9" s="27"/>
      <c r="V9" s="12">
        <f t="shared" si="0"/>
        <v>0</v>
      </c>
    </row>
    <row r="10" spans="1:25" ht="21" customHeight="1" x14ac:dyDescent="0.45">
      <c r="A10" s="11">
        <v>3</v>
      </c>
      <c r="B10" s="43" t="s">
        <v>333</v>
      </c>
      <c r="C10" s="43" t="s">
        <v>334</v>
      </c>
      <c r="D10" s="8" t="s">
        <v>340</v>
      </c>
      <c r="E10" s="57">
        <v>7</v>
      </c>
      <c r="F10" s="40"/>
      <c r="G10" s="26"/>
      <c r="H10" s="29"/>
      <c r="I10" s="27"/>
      <c r="J10" s="27"/>
      <c r="K10" s="27"/>
      <c r="L10" s="29"/>
      <c r="M10" s="36"/>
      <c r="N10" s="28"/>
      <c r="O10" s="12"/>
      <c r="P10" s="8"/>
      <c r="Q10" s="27"/>
      <c r="R10" s="27"/>
      <c r="S10" s="27"/>
      <c r="T10" s="27"/>
      <c r="U10" s="27"/>
      <c r="V10" s="12">
        <f t="shared" si="0"/>
        <v>7</v>
      </c>
    </row>
    <row r="11" spans="1:25" ht="21" customHeight="1" x14ac:dyDescent="0.45">
      <c r="A11" s="11">
        <v>4</v>
      </c>
      <c r="B11" s="43" t="s">
        <v>13</v>
      </c>
      <c r="C11" s="43" t="s">
        <v>334</v>
      </c>
      <c r="D11" s="8" t="s">
        <v>340</v>
      </c>
      <c r="E11" s="57"/>
      <c r="F11" s="40"/>
      <c r="G11" s="26"/>
      <c r="H11" s="29"/>
      <c r="I11" s="27"/>
      <c r="J11" s="27"/>
      <c r="K11" s="27"/>
      <c r="L11" s="29"/>
      <c r="M11" s="36"/>
      <c r="N11" s="28"/>
      <c r="O11" s="12"/>
      <c r="P11" s="8"/>
      <c r="Q11" s="27"/>
      <c r="R11" s="27"/>
      <c r="S11" s="27"/>
      <c r="T11" s="27"/>
      <c r="U11" s="27"/>
      <c r="V11" s="12">
        <f t="shared" si="0"/>
        <v>0</v>
      </c>
    </row>
    <row r="12" spans="1:25" ht="21" customHeight="1" x14ac:dyDescent="0.45">
      <c r="A12" s="11">
        <v>5</v>
      </c>
      <c r="B12" s="124" t="s">
        <v>341</v>
      </c>
      <c r="C12" s="124" t="s">
        <v>342</v>
      </c>
      <c r="D12" s="8" t="s">
        <v>340</v>
      </c>
      <c r="E12" s="57"/>
      <c r="F12" s="13"/>
      <c r="G12" s="13"/>
      <c r="H12" s="13"/>
      <c r="I12" s="57"/>
      <c r="J12" s="57"/>
      <c r="K12" s="58"/>
      <c r="L12" s="13"/>
      <c r="M12" s="51"/>
      <c r="N12" s="59"/>
      <c r="O12" s="57"/>
      <c r="P12" s="13"/>
      <c r="Q12" s="13"/>
      <c r="R12" s="13"/>
      <c r="S12" s="13"/>
      <c r="T12" s="13"/>
      <c r="U12" s="13"/>
      <c r="V12" s="12">
        <f t="shared" si="0"/>
        <v>0</v>
      </c>
    </row>
    <row r="13" spans="1:25" ht="21" customHeight="1" x14ac:dyDescent="0.45">
      <c r="A13" s="11">
        <v>6</v>
      </c>
      <c r="B13" s="124" t="s">
        <v>359</v>
      </c>
      <c r="C13" s="124" t="s">
        <v>360</v>
      </c>
      <c r="D13" s="48" t="s">
        <v>309</v>
      </c>
      <c r="E13" s="213"/>
      <c r="F13" s="40"/>
      <c r="G13" s="26"/>
      <c r="H13" s="29"/>
      <c r="I13" s="27"/>
      <c r="J13" s="27"/>
      <c r="K13" s="27"/>
      <c r="L13" s="8"/>
      <c r="M13" s="36"/>
      <c r="N13" s="28"/>
      <c r="O13" s="12"/>
      <c r="P13" s="8"/>
      <c r="Q13" s="27"/>
      <c r="R13" s="27"/>
      <c r="S13" s="27"/>
      <c r="T13" s="27"/>
      <c r="U13" s="27"/>
      <c r="V13" s="12">
        <f t="shared" si="0"/>
        <v>0</v>
      </c>
    </row>
    <row r="14" spans="1:25" ht="21" customHeight="1" x14ac:dyDescent="0.45">
      <c r="A14" s="11">
        <v>7</v>
      </c>
      <c r="B14" s="43" t="s">
        <v>368</v>
      </c>
      <c r="C14" s="43" t="s">
        <v>369</v>
      </c>
      <c r="D14" s="8" t="s">
        <v>179</v>
      </c>
      <c r="E14" s="57"/>
      <c r="F14" s="40"/>
      <c r="G14" s="26"/>
      <c r="H14" s="29"/>
      <c r="I14" s="27"/>
      <c r="J14" s="27"/>
      <c r="K14" s="27"/>
      <c r="L14" s="29"/>
      <c r="M14" s="36"/>
      <c r="N14" s="28"/>
      <c r="O14" s="12"/>
      <c r="P14" s="8"/>
      <c r="Q14" s="27"/>
      <c r="R14" s="27"/>
      <c r="S14" s="27"/>
      <c r="T14" s="27"/>
      <c r="U14" s="27"/>
      <c r="V14" s="12">
        <f t="shared" si="0"/>
        <v>0</v>
      </c>
    </row>
    <row r="15" spans="1:25" ht="21" customHeight="1" x14ac:dyDescent="0.45">
      <c r="A15" s="11">
        <v>8</v>
      </c>
      <c r="B15" s="43" t="s">
        <v>372</v>
      </c>
      <c r="C15" s="43" t="s">
        <v>373</v>
      </c>
      <c r="D15" s="8" t="s">
        <v>340</v>
      </c>
      <c r="E15" s="57"/>
      <c r="F15" s="40"/>
      <c r="G15" s="26"/>
      <c r="H15" s="29"/>
      <c r="I15" s="27"/>
      <c r="J15" s="27"/>
      <c r="K15" s="27"/>
      <c r="L15" s="29"/>
      <c r="M15" s="36"/>
      <c r="N15" s="28"/>
      <c r="O15" s="12"/>
      <c r="P15" s="8"/>
      <c r="Q15" s="27"/>
      <c r="R15" s="27"/>
      <c r="S15" s="27"/>
      <c r="T15" s="27"/>
      <c r="U15" s="27"/>
      <c r="V15" s="12">
        <f t="shared" si="0"/>
        <v>0</v>
      </c>
    </row>
    <row r="16" spans="1:25" ht="21" customHeight="1" x14ac:dyDescent="0.45">
      <c r="A16" s="11">
        <v>9</v>
      </c>
      <c r="B16" s="43" t="s">
        <v>396</v>
      </c>
      <c r="C16" s="43" t="s">
        <v>397</v>
      </c>
      <c r="D16" s="26" t="s">
        <v>279</v>
      </c>
      <c r="E16" s="57"/>
      <c r="F16" s="40"/>
      <c r="G16" s="26"/>
      <c r="H16" s="29"/>
      <c r="I16" s="27"/>
      <c r="J16" s="27"/>
      <c r="K16" s="27"/>
      <c r="L16" s="29"/>
      <c r="M16" s="36"/>
      <c r="N16" s="28"/>
      <c r="O16" s="12"/>
      <c r="P16" s="8"/>
      <c r="Q16" s="27"/>
      <c r="R16" s="27"/>
      <c r="S16" s="27"/>
      <c r="T16" s="27"/>
      <c r="U16" s="27"/>
      <c r="V16" s="12">
        <f>E16+F16+G16+H16+I16+J16+K16+L16+M16-N16-O16-P16-Q16-R16-S16-T16-U16</f>
        <v>0</v>
      </c>
    </row>
    <row r="17" spans="1:22" ht="21" customHeight="1" x14ac:dyDescent="0.45">
      <c r="A17" s="11">
        <v>10</v>
      </c>
      <c r="B17" s="43" t="s">
        <v>392</v>
      </c>
      <c r="C17" s="43" t="s">
        <v>393</v>
      </c>
      <c r="D17" s="8" t="s">
        <v>179</v>
      </c>
      <c r="E17" s="57"/>
      <c r="F17" s="40"/>
      <c r="G17" s="26"/>
      <c r="H17" s="29"/>
      <c r="I17" s="27"/>
      <c r="J17" s="27"/>
      <c r="K17" s="27"/>
      <c r="L17" s="29"/>
      <c r="M17" s="36"/>
      <c r="N17" s="28"/>
      <c r="O17" s="12"/>
      <c r="P17" s="8"/>
      <c r="Q17" s="27"/>
      <c r="R17" s="27"/>
      <c r="S17" s="27"/>
      <c r="T17" s="27"/>
      <c r="U17" s="27"/>
      <c r="V17" s="12">
        <f>E17+F17+G17+H17+I17+J17+K17+L17+M17-N17-O17-P17-Q17-R17-S17-T17-U17</f>
        <v>0</v>
      </c>
    </row>
    <row r="18" spans="1:22" ht="21" customHeight="1" x14ac:dyDescent="0.45">
      <c r="A18" s="11">
        <v>11</v>
      </c>
      <c r="B18" s="43" t="s">
        <v>400</v>
      </c>
      <c r="C18" s="43" t="s">
        <v>30</v>
      </c>
      <c r="D18" s="8" t="s">
        <v>179</v>
      </c>
      <c r="E18" s="57"/>
      <c r="F18" s="40"/>
      <c r="G18" s="26"/>
      <c r="H18" s="29"/>
      <c r="I18" s="27"/>
      <c r="J18" s="27"/>
      <c r="K18" s="27"/>
      <c r="L18" s="29"/>
      <c r="M18" s="36"/>
      <c r="N18" s="28"/>
      <c r="O18" s="12"/>
      <c r="P18" s="8"/>
      <c r="Q18" s="27"/>
      <c r="R18" s="27"/>
      <c r="S18" s="27"/>
      <c r="T18" s="27"/>
      <c r="U18" s="27"/>
      <c r="V18" s="12">
        <f>E18+F18+G18+H18+I18+J18+K18+L18+M18-N18-O18-P18-Q18-R18-S18-T18-U18</f>
        <v>0</v>
      </c>
    </row>
    <row r="19" spans="1:22" ht="21" customHeight="1" x14ac:dyDescent="0.45">
      <c r="A19" s="11">
        <v>12</v>
      </c>
      <c r="B19" s="43" t="s">
        <v>401</v>
      </c>
      <c r="C19" s="43" t="s">
        <v>402</v>
      </c>
      <c r="D19" s="8" t="s">
        <v>171</v>
      </c>
      <c r="E19" s="57"/>
      <c r="F19" s="40"/>
      <c r="G19" s="26"/>
      <c r="H19" s="29"/>
      <c r="I19" s="27"/>
      <c r="J19" s="27"/>
      <c r="K19" s="27"/>
      <c r="L19" s="29"/>
      <c r="M19" s="36"/>
      <c r="N19" s="28"/>
      <c r="O19" s="12"/>
      <c r="P19" s="8"/>
      <c r="Q19" s="27"/>
      <c r="R19" s="27"/>
      <c r="S19" s="27"/>
      <c r="T19" s="27"/>
      <c r="U19" s="27"/>
      <c r="V19" s="12">
        <f>E19+F19+G19+H19+I19+J19+K19+L19+M19-N19-O19-P19-Q19-R19-S19-T19-U19</f>
        <v>0</v>
      </c>
    </row>
    <row r="20" spans="1:22" ht="21" customHeight="1" x14ac:dyDescent="0.45">
      <c r="A20" s="11">
        <v>13</v>
      </c>
      <c r="B20" s="43" t="s">
        <v>403</v>
      </c>
      <c r="C20" s="43" t="s">
        <v>404</v>
      </c>
      <c r="D20" s="26" t="s">
        <v>480</v>
      </c>
      <c r="E20" s="57"/>
      <c r="F20" s="40"/>
      <c r="G20" s="26"/>
      <c r="H20" s="29"/>
      <c r="I20" s="27"/>
      <c r="J20" s="27"/>
      <c r="K20" s="27"/>
      <c r="L20" s="29"/>
      <c r="M20" s="36"/>
      <c r="N20" s="28"/>
      <c r="O20" s="12"/>
      <c r="P20" s="8"/>
      <c r="Q20" s="27"/>
      <c r="R20" s="27"/>
      <c r="S20" s="27"/>
      <c r="T20" s="27"/>
      <c r="U20" s="27"/>
      <c r="V20" s="12">
        <f>E20+F20+G20+H20+I20+J20+K20+L20+M20-N20-O20-P20-Q20-R20-S20-T20-U20</f>
        <v>0</v>
      </c>
    </row>
    <row r="21" spans="1:22" ht="21" customHeight="1" x14ac:dyDescent="0.45">
      <c r="A21" s="11">
        <v>14</v>
      </c>
      <c r="B21" s="43" t="s">
        <v>412</v>
      </c>
      <c r="C21" s="43" t="s">
        <v>413</v>
      </c>
      <c r="D21" s="26" t="s">
        <v>415</v>
      </c>
      <c r="E21" s="57"/>
      <c r="F21" s="40"/>
      <c r="G21" s="26"/>
      <c r="H21" s="29"/>
      <c r="I21" s="27"/>
      <c r="J21" s="27"/>
      <c r="K21" s="27"/>
      <c r="L21" s="29"/>
      <c r="M21" s="36"/>
      <c r="N21" s="28"/>
      <c r="O21" s="12"/>
      <c r="P21" s="8"/>
      <c r="Q21" s="27"/>
      <c r="R21" s="27"/>
      <c r="S21" s="27"/>
      <c r="T21" s="27"/>
      <c r="U21" s="27"/>
      <c r="V21" s="12">
        <f t="shared" ref="V21:V25" si="1">E21+F21+G21+H21+I21+J21+K21+L21+M21-N21-O21-P21-Q21-R21-S21-T21-U21</f>
        <v>0</v>
      </c>
    </row>
    <row r="22" spans="1:22" ht="21" customHeight="1" x14ac:dyDescent="0.45">
      <c r="A22" s="11">
        <v>15</v>
      </c>
      <c r="B22" s="43" t="s">
        <v>416</v>
      </c>
      <c r="C22" s="43" t="s">
        <v>417</v>
      </c>
      <c r="D22" s="8" t="s">
        <v>340</v>
      </c>
      <c r="E22" s="57"/>
      <c r="F22" s="40"/>
      <c r="G22" s="26"/>
      <c r="H22" s="29"/>
      <c r="I22" s="27"/>
      <c r="J22" s="27"/>
      <c r="K22" s="27"/>
      <c r="L22" s="29"/>
      <c r="M22" s="36"/>
      <c r="N22" s="28"/>
      <c r="O22" s="12"/>
      <c r="P22" s="8"/>
      <c r="Q22" s="27"/>
      <c r="R22" s="27"/>
      <c r="S22" s="27"/>
      <c r="T22" s="27"/>
      <c r="U22" s="27"/>
      <c r="V22" s="12">
        <f t="shared" si="1"/>
        <v>0</v>
      </c>
    </row>
    <row r="23" spans="1:22" ht="21" customHeight="1" x14ac:dyDescent="0.45">
      <c r="A23" s="11">
        <v>16</v>
      </c>
      <c r="B23" s="43" t="s">
        <v>420</v>
      </c>
      <c r="C23" s="43" t="s">
        <v>421</v>
      </c>
      <c r="D23" s="8" t="s">
        <v>179</v>
      </c>
      <c r="E23" s="57"/>
      <c r="F23" s="40"/>
      <c r="G23" s="26"/>
      <c r="H23" s="29"/>
      <c r="I23" s="27"/>
      <c r="J23" s="27"/>
      <c r="K23" s="27"/>
      <c r="L23" s="29"/>
      <c r="M23" s="36"/>
      <c r="N23" s="28"/>
      <c r="O23" s="12"/>
      <c r="P23" s="8"/>
      <c r="Q23" s="27"/>
      <c r="R23" s="27"/>
      <c r="S23" s="27"/>
      <c r="T23" s="27"/>
      <c r="U23" s="27"/>
      <c r="V23" s="12">
        <f t="shared" si="1"/>
        <v>0</v>
      </c>
    </row>
    <row r="24" spans="1:22" ht="21" customHeight="1" x14ac:dyDescent="0.45">
      <c r="A24" s="11">
        <v>17</v>
      </c>
      <c r="B24" s="127" t="s">
        <v>432</v>
      </c>
      <c r="C24" s="7" t="s">
        <v>447</v>
      </c>
      <c r="D24" s="8" t="s">
        <v>340</v>
      </c>
      <c r="E24" s="57"/>
      <c r="F24" s="40"/>
      <c r="G24" s="26"/>
      <c r="H24" s="29"/>
      <c r="I24" s="27"/>
      <c r="J24" s="27"/>
      <c r="K24" s="27"/>
      <c r="L24" s="29"/>
      <c r="M24" s="36"/>
      <c r="N24" s="28"/>
      <c r="O24" s="12"/>
      <c r="P24" s="8"/>
      <c r="Q24" s="27"/>
      <c r="R24" s="27"/>
      <c r="S24" s="27"/>
      <c r="T24" s="27"/>
      <c r="U24" s="27"/>
      <c r="V24" s="12">
        <f t="shared" si="1"/>
        <v>0</v>
      </c>
    </row>
    <row r="25" spans="1:22" ht="21" customHeight="1" x14ac:dyDescent="0.45">
      <c r="A25" s="11">
        <v>18</v>
      </c>
      <c r="B25" s="43" t="s">
        <v>338</v>
      </c>
      <c r="C25" s="43" t="s">
        <v>339</v>
      </c>
      <c r="D25" s="8" t="s">
        <v>179</v>
      </c>
      <c r="E25" s="57"/>
      <c r="F25" s="40"/>
      <c r="G25" s="26"/>
      <c r="H25" s="29"/>
      <c r="I25" s="27"/>
      <c r="J25" s="27"/>
      <c r="K25" s="27"/>
      <c r="L25" s="29"/>
      <c r="M25" s="36"/>
      <c r="N25" s="28"/>
      <c r="O25" s="12"/>
      <c r="P25" s="8"/>
      <c r="Q25" s="27"/>
      <c r="R25" s="27"/>
      <c r="S25" s="27"/>
      <c r="T25" s="27"/>
      <c r="U25" s="27"/>
      <c r="V25" s="12">
        <f t="shared" si="1"/>
        <v>0</v>
      </c>
    </row>
    <row r="26" spans="1:22" ht="21" customHeight="1" x14ac:dyDescent="0.45">
      <c r="A26" s="252" t="s">
        <v>60</v>
      </c>
      <c r="B26" s="252"/>
      <c r="C26" s="252"/>
      <c r="D26" s="252"/>
      <c r="E26" s="175">
        <f>SUM(E8:E25)</f>
        <v>7</v>
      </c>
      <c r="F26" s="175">
        <f t="shared" ref="F26:L26" si="2">SUM(F8:F25)</f>
        <v>0</v>
      </c>
      <c r="G26" s="175">
        <f t="shared" si="2"/>
        <v>0</v>
      </c>
      <c r="H26" s="175">
        <f t="shared" si="2"/>
        <v>0</v>
      </c>
      <c r="I26" s="175">
        <f t="shared" si="2"/>
        <v>0</v>
      </c>
      <c r="J26" s="175">
        <f t="shared" si="2"/>
        <v>0</v>
      </c>
      <c r="K26" s="175">
        <f t="shared" si="2"/>
        <v>0</v>
      </c>
      <c r="L26" s="175">
        <f t="shared" si="2"/>
        <v>0</v>
      </c>
      <c r="M26" s="175">
        <f>SUM(M8:M25)</f>
        <v>0</v>
      </c>
      <c r="N26" s="236">
        <f>SUM(N8:N25)</f>
        <v>0</v>
      </c>
      <c r="O26" s="175">
        <f>SUM(O8:O25)</f>
        <v>0</v>
      </c>
      <c r="P26" s="175">
        <f t="shared" ref="P26:U26" si="3">SUM(P8:P25)</f>
        <v>0</v>
      </c>
      <c r="Q26" s="175">
        <f t="shared" si="3"/>
        <v>0</v>
      </c>
      <c r="R26" s="175">
        <f t="shared" si="3"/>
        <v>0</v>
      </c>
      <c r="S26" s="175">
        <f t="shared" si="3"/>
        <v>0</v>
      </c>
      <c r="T26" s="175">
        <f t="shared" si="3"/>
        <v>0</v>
      </c>
      <c r="U26" s="175">
        <f t="shared" si="3"/>
        <v>0</v>
      </c>
      <c r="V26" s="175">
        <f>SUM(V8:V25)</f>
        <v>7</v>
      </c>
    </row>
    <row r="27" spans="1:22" ht="21" customHeight="1" x14ac:dyDescent="0.45">
      <c r="A27" s="252" t="s">
        <v>61</v>
      </c>
      <c r="B27" s="252"/>
      <c r="C27" s="252"/>
      <c r="D27" s="252"/>
      <c r="E27" s="175">
        <f t="shared" ref="E27:V27" si="4">E26</f>
        <v>7</v>
      </c>
      <c r="F27" s="175">
        <f t="shared" si="4"/>
        <v>0</v>
      </c>
      <c r="G27" s="175">
        <f t="shared" si="4"/>
        <v>0</v>
      </c>
      <c r="H27" s="175">
        <f t="shared" si="4"/>
        <v>0</v>
      </c>
      <c r="I27" s="175">
        <f t="shared" si="4"/>
        <v>0</v>
      </c>
      <c r="J27" s="175">
        <f t="shared" si="4"/>
        <v>0</v>
      </c>
      <c r="K27" s="175">
        <f t="shared" si="4"/>
        <v>0</v>
      </c>
      <c r="L27" s="175">
        <f t="shared" si="4"/>
        <v>0</v>
      </c>
      <c r="M27" s="237">
        <f t="shared" si="4"/>
        <v>0</v>
      </c>
      <c r="N27" s="236">
        <f t="shared" si="4"/>
        <v>0</v>
      </c>
      <c r="O27" s="175">
        <f t="shared" si="4"/>
        <v>0</v>
      </c>
      <c r="P27" s="175">
        <f t="shared" si="4"/>
        <v>0</v>
      </c>
      <c r="Q27" s="175">
        <f t="shared" si="4"/>
        <v>0</v>
      </c>
      <c r="R27" s="175">
        <f t="shared" si="4"/>
        <v>0</v>
      </c>
      <c r="S27" s="175">
        <f t="shared" si="4"/>
        <v>0</v>
      </c>
      <c r="T27" s="175">
        <f t="shared" si="4"/>
        <v>0</v>
      </c>
      <c r="U27" s="175">
        <f t="shared" si="4"/>
        <v>0</v>
      </c>
      <c r="V27" s="175">
        <f t="shared" si="4"/>
        <v>7</v>
      </c>
    </row>
    <row r="28" spans="1:22" ht="21" customHeight="1" x14ac:dyDescent="0.45">
      <c r="A28" s="11">
        <v>19</v>
      </c>
      <c r="B28" s="173" t="s">
        <v>448</v>
      </c>
      <c r="C28" s="43" t="s">
        <v>449</v>
      </c>
      <c r="D28" s="8" t="s">
        <v>167</v>
      </c>
      <c r="E28" s="57"/>
      <c r="F28" s="40"/>
      <c r="G28" s="26"/>
      <c r="H28" s="29"/>
      <c r="I28" s="27"/>
      <c r="J28" s="27"/>
      <c r="K28" s="27"/>
      <c r="L28" s="29"/>
      <c r="M28" s="36"/>
      <c r="N28" s="28"/>
      <c r="O28" s="12"/>
      <c r="P28" s="8"/>
      <c r="Q28" s="27"/>
      <c r="R28" s="27"/>
      <c r="S28" s="27"/>
      <c r="T28" s="27"/>
      <c r="U28" s="27"/>
      <c r="V28" s="12">
        <f>E28+F28+G28+H28+I28+J28+K28+L28+M28-N28-O28-P28-Q28-R28-S28-T28-U28</f>
        <v>0</v>
      </c>
    </row>
    <row r="29" spans="1:22" ht="21" customHeight="1" x14ac:dyDescent="0.45">
      <c r="A29" s="11">
        <v>20</v>
      </c>
      <c r="B29" s="173" t="s">
        <v>452</v>
      </c>
      <c r="C29" s="43" t="s">
        <v>453</v>
      </c>
      <c r="D29" s="8" t="s">
        <v>454</v>
      </c>
      <c r="E29" s="57"/>
      <c r="F29" s="40"/>
      <c r="G29" s="26"/>
      <c r="H29" s="29"/>
      <c r="I29" s="27"/>
      <c r="J29" s="27"/>
      <c r="K29" s="27"/>
      <c r="L29" s="29"/>
      <c r="M29" s="36"/>
      <c r="N29" s="28"/>
      <c r="O29" s="12"/>
      <c r="P29" s="8"/>
      <c r="Q29" s="27"/>
      <c r="R29" s="27"/>
      <c r="S29" s="27"/>
      <c r="T29" s="27"/>
      <c r="U29" s="27"/>
      <c r="V29" s="12">
        <f>E29+F29+G29+H29+I29+J29+K29+L29+M29-N29-O29-P29-Q29-R29-S29-T29-U29</f>
        <v>0</v>
      </c>
    </row>
    <row r="30" spans="1:22" ht="21" customHeight="1" x14ac:dyDescent="0.45">
      <c r="A30" s="11">
        <v>21</v>
      </c>
      <c r="B30" s="173" t="s">
        <v>457</v>
      </c>
      <c r="C30" s="43" t="s">
        <v>356</v>
      </c>
      <c r="D30" s="8" t="s">
        <v>179</v>
      </c>
      <c r="E30" s="57"/>
      <c r="F30" s="40"/>
      <c r="G30" s="26"/>
      <c r="H30" s="29"/>
      <c r="I30" s="27"/>
      <c r="J30" s="27"/>
      <c r="K30" s="27"/>
      <c r="L30" s="29"/>
      <c r="M30" s="36"/>
      <c r="N30" s="28"/>
      <c r="O30" s="12"/>
      <c r="P30" s="8"/>
      <c r="Q30" s="27"/>
      <c r="R30" s="27"/>
      <c r="S30" s="27"/>
      <c r="T30" s="27"/>
      <c r="U30" s="27"/>
      <c r="V30" s="12">
        <f>E30+F30+G30+H30+I30+J30+K30+L30+M30-N30-O30-P30-Q30-R30-S30-T30-U30</f>
        <v>0</v>
      </c>
    </row>
    <row r="31" spans="1:22" ht="21" customHeight="1" x14ac:dyDescent="0.45">
      <c r="A31" s="11">
        <v>22</v>
      </c>
      <c r="B31" s="127" t="s">
        <v>466</v>
      </c>
      <c r="C31" s="7" t="s">
        <v>467</v>
      </c>
      <c r="D31" s="64" t="s">
        <v>165</v>
      </c>
      <c r="E31" s="57"/>
      <c r="F31" s="40"/>
      <c r="G31" s="26"/>
      <c r="H31" s="29"/>
      <c r="I31" s="27"/>
      <c r="J31" s="27"/>
      <c r="K31" s="27"/>
      <c r="L31" s="29"/>
      <c r="M31" s="36"/>
      <c r="N31" s="28"/>
      <c r="O31" s="12"/>
      <c r="P31" s="8"/>
      <c r="Q31" s="27"/>
      <c r="R31" s="27"/>
      <c r="S31" s="27"/>
      <c r="T31" s="27"/>
      <c r="U31" s="27"/>
      <c r="V31" s="12">
        <f t="shared" ref="V31" si="5">E31+F31+G31+H31+I31+J31+K31+L31+M31-N31-O31-P31-Q31-R31-S31-T31-U31</f>
        <v>0</v>
      </c>
    </row>
    <row r="32" spans="1:22" ht="21" customHeight="1" x14ac:dyDescent="0.45">
      <c r="A32" s="11">
        <v>23</v>
      </c>
      <c r="B32" s="173" t="s">
        <v>481</v>
      </c>
      <c r="C32" s="43" t="s">
        <v>482</v>
      </c>
      <c r="D32" s="8" t="s">
        <v>179</v>
      </c>
      <c r="E32" s="57"/>
      <c r="F32" s="40"/>
      <c r="G32" s="26"/>
      <c r="H32" s="29"/>
      <c r="I32" s="27"/>
      <c r="J32" s="27"/>
      <c r="K32" s="27"/>
      <c r="L32" s="29"/>
      <c r="M32" s="36"/>
      <c r="N32" s="28"/>
      <c r="O32" s="12"/>
      <c r="P32" s="8"/>
      <c r="Q32" s="27"/>
      <c r="R32" s="27"/>
      <c r="S32" s="27"/>
      <c r="T32" s="27"/>
      <c r="U32" s="27"/>
      <c r="V32" s="12">
        <f>E32+F32+G32+H32+I32+J32+K32+L32+M32-N32-O32-P32-Q32-R32-S32-T32-U32</f>
        <v>0</v>
      </c>
    </row>
    <row r="33" spans="1:22" ht="21" customHeight="1" x14ac:dyDescent="0.45">
      <c r="A33" s="11">
        <v>24</v>
      </c>
      <c r="B33" s="173" t="s">
        <v>485</v>
      </c>
      <c r="C33" s="43" t="s">
        <v>486</v>
      </c>
      <c r="D33" s="26" t="s">
        <v>279</v>
      </c>
      <c r="E33" s="57"/>
      <c r="F33" s="40"/>
      <c r="G33" s="26"/>
      <c r="H33" s="29"/>
      <c r="I33" s="27"/>
      <c r="J33" s="27"/>
      <c r="K33" s="27"/>
      <c r="L33" s="29"/>
      <c r="M33" s="36"/>
      <c r="N33" s="28"/>
      <c r="O33" s="12"/>
      <c r="P33" s="8"/>
      <c r="Q33" s="27"/>
      <c r="R33" s="27"/>
      <c r="S33" s="202"/>
      <c r="T33" s="27"/>
      <c r="U33" s="27"/>
      <c r="V33" s="12">
        <f>E33+F33+G33+H33+I33+J33+K33+L33+M33-N33-O33-P33-Q33-R33-S33-T33-U33</f>
        <v>0</v>
      </c>
    </row>
    <row r="34" spans="1:22" ht="21" customHeight="1" x14ac:dyDescent="0.45">
      <c r="A34" s="11">
        <v>26</v>
      </c>
      <c r="B34" s="173" t="s">
        <v>490</v>
      </c>
      <c r="C34" s="43" t="s">
        <v>169</v>
      </c>
      <c r="D34" s="8" t="s">
        <v>179</v>
      </c>
      <c r="E34" s="57"/>
      <c r="F34" s="40"/>
      <c r="G34" s="26"/>
      <c r="H34" s="29"/>
      <c r="I34" s="27"/>
      <c r="J34" s="27"/>
      <c r="K34" s="27"/>
      <c r="L34" s="29"/>
      <c r="M34" s="36"/>
      <c r="N34" s="28"/>
      <c r="O34" s="12"/>
      <c r="P34" s="8"/>
      <c r="Q34" s="27"/>
      <c r="R34" s="27"/>
      <c r="S34" s="27"/>
      <c r="T34" s="27"/>
      <c r="U34" s="27"/>
      <c r="V34" s="12">
        <f t="shared" ref="V34" si="6">E34+F34+G34+H34+I34+J34+K34+L34+M34-N34-O34-P34-Q34-R34-S34-T34-U34</f>
        <v>0</v>
      </c>
    </row>
    <row r="35" spans="1:22" ht="21" customHeight="1" x14ac:dyDescent="0.45">
      <c r="A35" s="11">
        <v>27</v>
      </c>
      <c r="B35" s="173" t="s">
        <v>511</v>
      </c>
      <c r="C35" s="43" t="s">
        <v>76</v>
      </c>
      <c r="D35" s="183" t="s">
        <v>179</v>
      </c>
      <c r="E35" s="57"/>
      <c r="F35" s="40"/>
      <c r="G35" s="26"/>
      <c r="H35" s="29"/>
      <c r="I35" s="27"/>
      <c r="J35" s="27"/>
      <c r="K35" s="27"/>
      <c r="L35" s="29"/>
      <c r="M35" s="36"/>
      <c r="N35" s="28"/>
      <c r="O35" s="12"/>
      <c r="P35" s="8"/>
      <c r="Q35" s="27"/>
      <c r="R35" s="27"/>
      <c r="S35" s="27"/>
      <c r="T35" s="27"/>
      <c r="U35" s="27"/>
      <c r="V35" s="12">
        <f>E35+F35+G35+H35+I35+J35+K35+L35+M35-N35-O35-P35-Q35-R35-S35-T35-U35</f>
        <v>0</v>
      </c>
    </row>
    <row r="36" spans="1:22" ht="21" customHeight="1" x14ac:dyDescent="0.45">
      <c r="A36" s="11">
        <v>28</v>
      </c>
      <c r="B36" s="173" t="s">
        <v>521</v>
      </c>
      <c r="C36" s="43" t="s">
        <v>522</v>
      </c>
      <c r="D36" s="8" t="s">
        <v>112</v>
      </c>
      <c r="E36" s="57"/>
      <c r="F36" s="40"/>
      <c r="G36" s="26"/>
      <c r="H36" s="29"/>
      <c r="I36" s="27"/>
      <c r="J36" s="27"/>
      <c r="K36" s="27"/>
      <c r="L36" s="29"/>
      <c r="M36" s="36"/>
      <c r="N36" s="28"/>
      <c r="O36" s="12"/>
      <c r="P36" s="8"/>
      <c r="Q36" s="27"/>
      <c r="R36" s="27"/>
      <c r="S36" s="27"/>
      <c r="T36" s="27"/>
      <c r="U36" s="27"/>
      <c r="V36" s="12">
        <f>E36+F36+G36+H36+I36+J36+K36+L36+M36-N36-O36-P36-Q36-R36-S36-T36-U36</f>
        <v>0</v>
      </c>
    </row>
    <row r="37" spans="1:22" ht="21" customHeight="1" x14ac:dyDescent="0.45">
      <c r="A37" s="11">
        <v>29</v>
      </c>
      <c r="B37" s="173" t="s">
        <v>40</v>
      </c>
      <c r="C37" s="43" t="s">
        <v>523</v>
      </c>
      <c r="D37" s="8" t="s">
        <v>340</v>
      </c>
      <c r="E37" s="57"/>
      <c r="F37" s="40"/>
      <c r="G37" s="26"/>
      <c r="H37" s="29"/>
      <c r="I37" s="27"/>
      <c r="J37" s="27"/>
      <c r="K37" s="27"/>
      <c r="L37" s="29"/>
      <c r="M37" s="36"/>
      <c r="N37" s="28"/>
      <c r="O37" s="12"/>
      <c r="P37" s="8"/>
      <c r="Q37" s="27"/>
      <c r="R37" s="27"/>
      <c r="S37" s="27"/>
      <c r="T37" s="27"/>
      <c r="U37" s="27"/>
      <c r="V37" s="12">
        <f>E37+F37+G37+H37+I37+J37+K37+L37+M37-N37-O37-P37-Q37-R37-S37-T37-U37</f>
        <v>0</v>
      </c>
    </row>
    <row r="38" spans="1:22" ht="21" customHeight="1" x14ac:dyDescent="0.45">
      <c r="A38" s="11">
        <v>30</v>
      </c>
      <c r="B38" s="173" t="s">
        <v>95</v>
      </c>
      <c r="C38" s="43" t="s">
        <v>96</v>
      </c>
      <c r="D38" s="8" t="s">
        <v>171</v>
      </c>
      <c r="E38" s="57"/>
      <c r="F38" s="40"/>
      <c r="G38" s="26"/>
      <c r="H38" s="29"/>
      <c r="I38" s="27"/>
      <c r="J38" s="27"/>
      <c r="K38" s="27"/>
      <c r="L38" s="29"/>
      <c r="M38" s="36"/>
      <c r="N38" s="28"/>
      <c r="O38" s="12"/>
      <c r="P38" s="8"/>
      <c r="Q38" s="27"/>
      <c r="R38" s="27"/>
      <c r="S38" s="27"/>
      <c r="T38" s="27"/>
      <c r="U38" s="27"/>
      <c r="V38" s="12">
        <f t="shared" ref="V38:V41" si="7">E38+F38+G38+H38+I38+J38+K38+L38+M38-N38-O38-P38-Q38-R38-S38-T38-U38</f>
        <v>0</v>
      </c>
    </row>
    <row r="39" spans="1:22" ht="21" customHeight="1" x14ac:dyDescent="0.45">
      <c r="A39" s="11">
        <v>31</v>
      </c>
      <c r="B39" s="206" t="s">
        <v>551</v>
      </c>
      <c r="C39" s="128" t="s">
        <v>552</v>
      </c>
      <c r="D39" s="183" t="s">
        <v>179</v>
      </c>
      <c r="E39" s="208"/>
      <c r="F39" s="209"/>
      <c r="G39" s="209"/>
      <c r="H39" s="209"/>
      <c r="I39" s="208"/>
      <c r="J39" s="209"/>
      <c r="K39" s="209"/>
      <c r="L39" s="209"/>
      <c r="M39" s="210"/>
      <c r="N39" s="211"/>
      <c r="O39" s="208"/>
      <c r="P39" s="209"/>
      <c r="Q39" s="209"/>
      <c r="R39" s="209"/>
      <c r="S39" s="209"/>
      <c r="T39" s="175"/>
      <c r="U39" s="175"/>
      <c r="V39" s="12">
        <f t="shared" si="7"/>
        <v>0</v>
      </c>
    </row>
    <row r="40" spans="1:22" ht="21" customHeight="1" x14ac:dyDescent="0.45">
      <c r="A40" s="11">
        <v>32</v>
      </c>
      <c r="B40" s="206" t="s">
        <v>553</v>
      </c>
      <c r="C40" s="7" t="s">
        <v>554</v>
      </c>
      <c r="D40" s="19" t="s">
        <v>321</v>
      </c>
      <c r="E40" s="57"/>
      <c r="F40" s="40"/>
      <c r="G40" s="26"/>
      <c r="H40" s="29"/>
      <c r="I40" s="27"/>
      <c r="J40" s="27"/>
      <c r="K40" s="27"/>
      <c r="L40" s="29"/>
      <c r="M40" s="36"/>
      <c r="N40" s="28"/>
      <c r="O40" s="12"/>
      <c r="P40" s="8"/>
      <c r="Q40" s="27"/>
      <c r="R40" s="27"/>
      <c r="S40" s="27"/>
      <c r="T40" s="27"/>
      <c r="U40" s="27"/>
      <c r="V40" s="12">
        <f t="shared" si="7"/>
        <v>0</v>
      </c>
    </row>
    <row r="41" spans="1:22" ht="21" customHeight="1" x14ac:dyDescent="0.45">
      <c r="A41" s="11">
        <v>34</v>
      </c>
      <c r="B41" s="206" t="s">
        <v>568</v>
      </c>
      <c r="C41" s="7" t="s">
        <v>569</v>
      </c>
      <c r="D41" s="212" t="s">
        <v>238</v>
      </c>
      <c r="E41" s="57"/>
      <c r="F41" s="40"/>
      <c r="G41" s="26"/>
      <c r="H41" s="29"/>
      <c r="I41" s="27"/>
      <c r="J41" s="27"/>
      <c r="K41" s="27"/>
      <c r="L41" s="29"/>
      <c r="M41" s="36"/>
      <c r="N41" s="28"/>
      <c r="O41" s="12"/>
      <c r="P41" s="8"/>
      <c r="Q41" s="27"/>
      <c r="R41" s="27"/>
      <c r="S41" s="27"/>
      <c r="T41" s="27"/>
      <c r="U41" s="27"/>
      <c r="V41" s="12">
        <f t="shared" si="7"/>
        <v>0</v>
      </c>
    </row>
    <row r="42" spans="1:22" ht="21" customHeight="1" x14ac:dyDescent="0.45">
      <c r="A42" s="11">
        <v>35</v>
      </c>
      <c r="B42" s="206" t="s">
        <v>385</v>
      </c>
      <c r="C42" s="7" t="s">
        <v>386</v>
      </c>
      <c r="D42" s="8" t="s">
        <v>574</v>
      </c>
      <c r="E42" s="208"/>
      <c r="F42" s="209"/>
      <c r="G42" s="209"/>
      <c r="H42" s="209"/>
      <c r="I42" s="208"/>
      <c r="J42" s="208"/>
      <c r="K42" s="209"/>
      <c r="L42" s="209"/>
      <c r="M42" s="222"/>
      <c r="N42" s="223"/>
      <c r="O42" s="208"/>
      <c r="P42" s="209"/>
      <c r="Q42" s="209"/>
      <c r="R42" s="209"/>
      <c r="S42" s="174"/>
      <c r="T42" s="175"/>
      <c r="U42" s="175"/>
      <c r="V42" s="12">
        <f>E42+F42+G42+H42+I42+J42+K42+L42+M42-N42-O42-P42-Q42-R42-S42-T42-U42</f>
        <v>0</v>
      </c>
    </row>
    <row r="43" spans="1:22" ht="21" customHeight="1" x14ac:dyDescent="0.45">
      <c r="A43" s="11">
        <v>36</v>
      </c>
      <c r="B43" s="206" t="s">
        <v>575</v>
      </c>
      <c r="C43" s="7" t="s">
        <v>576</v>
      </c>
      <c r="D43" s="183" t="s">
        <v>179</v>
      </c>
      <c r="E43" s="57"/>
      <c r="F43" s="13"/>
      <c r="G43" s="13"/>
      <c r="H43" s="13"/>
      <c r="I43" s="57"/>
      <c r="J43" s="57"/>
      <c r="K43" s="13"/>
      <c r="L43" s="13"/>
      <c r="M43" s="224"/>
      <c r="N43" s="225"/>
      <c r="O43" s="57"/>
      <c r="P43" s="13"/>
      <c r="Q43" s="13"/>
      <c r="R43" s="13"/>
      <c r="S43" s="13"/>
      <c r="T43" s="13"/>
      <c r="U43" s="13"/>
      <c r="V43" s="12">
        <f>E43+F43+G43+H43+I43+J43+K43+L43+M43-N43-O43-P43-Q43-R43-S43-T43-U43</f>
        <v>0</v>
      </c>
    </row>
    <row r="44" spans="1:22" ht="21" customHeight="1" x14ac:dyDescent="0.45">
      <c r="A44" s="11">
        <v>37</v>
      </c>
      <c r="B44" s="226" t="s">
        <v>577</v>
      </c>
      <c r="C44" s="43" t="s">
        <v>366</v>
      </c>
      <c r="D44" s="207" t="s">
        <v>171</v>
      </c>
      <c r="E44" s="57"/>
      <c r="F44" s="40"/>
      <c r="G44" s="26"/>
      <c r="H44" s="29"/>
      <c r="I44" s="27"/>
      <c r="J44" s="27"/>
      <c r="K44" s="27"/>
      <c r="L44" s="29"/>
      <c r="M44" s="36"/>
      <c r="N44" s="28"/>
      <c r="O44" s="12"/>
      <c r="P44" s="8"/>
      <c r="Q44" s="27"/>
      <c r="R44" s="27"/>
      <c r="S44" s="27"/>
      <c r="T44" s="27"/>
      <c r="U44" s="27"/>
      <c r="V44" s="12">
        <f>E44+F44+G44+H44+I44+J44+K44+L44+M44-N44-O44-P44-Q44-R44-S44-T44-U44</f>
        <v>0</v>
      </c>
    </row>
    <row r="45" spans="1:22" ht="21" customHeight="1" x14ac:dyDescent="0.45">
      <c r="A45" s="252" t="s">
        <v>60</v>
      </c>
      <c r="B45" s="252"/>
      <c r="C45" s="252"/>
      <c r="D45" s="252"/>
      <c r="E45" s="175">
        <f>SUM(E27:E44)</f>
        <v>7</v>
      </c>
      <c r="F45" s="175">
        <f t="shared" ref="F45:L45" si="8">SUM(F27:F44)</f>
        <v>0</v>
      </c>
      <c r="G45" s="175">
        <f t="shared" si="8"/>
        <v>0</v>
      </c>
      <c r="H45" s="175">
        <f t="shared" si="8"/>
        <v>0</v>
      </c>
      <c r="I45" s="175">
        <f t="shared" si="8"/>
        <v>0</v>
      </c>
      <c r="J45" s="175">
        <f t="shared" si="8"/>
        <v>0</v>
      </c>
      <c r="K45" s="175">
        <f t="shared" si="8"/>
        <v>0</v>
      </c>
      <c r="L45" s="175">
        <f t="shared" si="8"/>
        <v>0</v>
      </c>
      <c r="M45" s="175">
        <f>SUM(M27:M44)</f>
        <v>0</v>
      </c>
      <c r="N45" s="236">
        <f>SUM(N27:N44)</f>
        <v>0</v>
      </c>
      <c r="O45" s="175">
        <f>SUM(O27:O44)</f>
        <v>0</v>
      </c>
      <c r="P45" s="175">
        <f t="shared" ref="P45:U45" si="9">SUM(P27:P44)</f>
        <v>0</v>
      </c>
      <c r="Q45" s="175">
        <f t="shared" si="9"/>
        <v>0</v>
      </c>
      <c r="R45" s="175">
        <f t="shared" si="9"/>
        <v>0</v>
      </c>
      <c r="S45" s="175">
        <f t="shared" si="9"/>
        <v>0</v>
      </c>
      <c r="T45" s="175">
        <f t="shared" si="9"/>
        <v>0</v>
      </c>
      <c r="U45" s="175">
        <f t="shared" si="9"/>
        <v>0</v>
      </c>
      <c r="V45" s="175">
        <f>SUM(V27:V44)</f>
        <v>7</v>
      </c>
    </row>
    <row r="46" spans="1:22" ht="21" customHeight="1" x14ac:dyDescent="0.45">
      <c r="A46" s="252" t="s">
        <v>61</v>
      </c>
      <c r="B46" s="252"/>
      <c r="C46" s="252"/>
      <c r="D46" s="252"/>
      <c r="E46" s="175">
        <f>E45</f>
        <v>7</v>
      </c>
      <c r="F46" s="175">
        <f t="shared" ref="F46:G46" si="10">F45</f>
        <v>0</v>
      </c>
      <c r="G46" s="175">
        <f t="shared" si="10"/>
        <v>0</v>
      </c>
      <c r="H46" s="175">
        <f>H45</f>
        <v>0</v>
      </c>
      <c r="I46" s="175">
        <f t="shared" ref="I46:J46" si="11">I45</f>
        <v>0</v>
      </c>
      <c r="J46" s="175">
        <f t="shared" si="11"/>
        <v>0</v>
      </c>
      <c r="K46" s="175">
        <f>K45</f>
        <v>0</v>
      </c>
      <c r="L46" s="175">
        <f t="shared" ref="L46:N46" si="12">L45</f>
        <v>0</v>
      </c>
      <c r="M46" s="237">
        <f t="shared" si="12"/>
        <v>0</v>
      </c>
      <c r="N46" s="236">
        <f t="shared" si="12"/>
        <v>0</v>
      </c>
      <c r="O46" s="175">
        <f>O45</f>
        <v>0</v>
      </c>
      <c r="P46" s="175">
        <f>P45</f>
        <v>0</v>
      </c>
      <c r="Q46" s="175">
        <f t="shared" ref="Q46:R46" si="13">Q45</f>
        <v>0</v>
      </c>
      <c r="R46" s="175">
        <f t="shared" si="13"/>
        <v>0</v>
      </c>
      <c r="S46" s="175">
        <f>S45</f>
        <v>0</v>
      </c>
      <c r="T46" s="175">
        <f t="shared" ref="T46:U46" si="14">T45</f>
        <v>0</v>
      </c>
      <c r="U46" s="175">
        <f t="shared" si="14"/>
        <v>0</v>
      </c>
      <c r="V46" s="175">
        <f>V45</f>
        <v>7</v>
      </c>
    </row>
    <row r="47" spans="1:22" ht="21" customHeight="1" x14ac:dyDescent="0.45">
      <c r="A47" s="11">
        <v>38</v>
      </c>
      <c r="B47" s="226" t="s">
        <v>578</v>
      </c>
      <c r="C47" s="43" t="s">
        <v>579</v>
      </c>
      <c r="D47" s="212" t="s">
        <v>580</v>
      </c>
      <c r="E47" s="57"/>
      <c r="F47" s="40"/>
      <c r="G47" s="26"/>
      <c r="H47" s="29"/>
      <c r="I47" s="27"/>
      <c r="J47" s="27"/>
      <c r="K47" s="27"/>
      <c r="L47" s="29"/>
      <c r="M47" s="36"/>
      <c r="N47" s="28"/>
      <c r="O47" s="12"/>
      <c r="P47" s="8"/>
      <c r="Q47" s="27"/>
      <c r="R47" s="27"/>
      <c r="S47" s="27"/>
      <c r="T47" s="27"/>
      <c r="U47" s="27"/>
      <c r="V47" s="12">
        <f>E47+F47+G47+H47+I47+J47+K47+L47+M47-N47-O47-P47-Q47-R47-S47-T47-U47</f>
        <v>0</v>
      </c>
    </row>
    <row r="48" spans="1:22" ht="21" customHeight="1" x14ac:dyDescent="0.45">
      <c r="A48" s="11">
        <v>39</v>
      </c>
      <c r="B48" s="226" t="s">
        <v>590</v>
      </c>
      <c r="C48" s="43" t="s">
        <v>591</v>
      </c>
      <c r="D48" s="212" t="s">
        <v>232</v>
      </c>
      <c r="E48" s="57"/>
      <c r="F48" s="40"/>
      <c r="G48" s="26"/>
      <c r="H48" s="29"/>
      <c r="I48" s="27"/>
      <c r="J48" s="27"/>
      <c r="K48" s="27"/>
      <c r="L48" s="29"/>
      <c r="M48" s="36"/>
      <c r="N48" s="28"/>
      <c r="O48" s="12"/>
      <c r="P48" s="8"/>
      <c r="Q48" s="27"/>
      <c r="R48" s="27"/>
      <c r="S48" s="27"/>
      <c r="T48" s="27"/>
      <c r="U48" s="27"/>
      <c r="V48" s="12">
        <f t="shared" ref="V48:V50" si="15">E48+F48+G48+H48+I48+J48+K48+L48+M48-N48-O48-P48-Q48-R48-S48-T48-U48</f>
        <v>0</v>
      </c>
    </row>
    <row r="49" spans="1:22" ht="21" customHeight="1" x14ac:dyDescent="0.45">
      <c r="A49" s="11">
        <v>40</v>
      </c>
      <c r="B49" s="226" t="s">
        <v>599</v>
      </c>
      <c r="C49" s="238" t="s">
        <v>600</v>
      </c>
      <c r="D49" s="212" t="s">
        <v>46</v>
      </c>
      <c r="E49" s="57"/>
      <c r="F49" s="40"/>
      <c r="G49" s="26"/>
      <c r="H49" s="29"/>
      <c r="I49" s="27"/>
      <c r="J49" s="27"/>
      <c r="K49" s="27"/>
      <c r="L49" s="29"/>
      <c r="M49" s="36"/>
      <c r="N49" s="28"/>
      <c r="O49" s="12"/>
      <c r="P49" s="8"/>
      <c r="Q49" s="27"/>
      <c r="R49" s="27"/>
      <c r="S49" s="27"/>
      <c r="T49" s="27"/>
      <c r="U49" s="27"/>
      <c r="V49" s="12">
        <f t="shared" si="15"/>
        <v>0</v>
      </c>
    </row>
    <row r="50" spans="1:22" ht="21" customHeight="1" x14ac:dyDescent="0.45">
      <c r="A50" s="11">
        <v>41</v>
      </c>
      <c r="B50" s="226" t="s">
        <v>610</v>
      </c>
      <c r="C50" s="43" t="s">
        <v>611</v>
      </c>
      <c r="D50" s="212" t="s">
        <v>46</v>
      </c>
      <c r="E50" s="57"/>
      <c r="F50" s="40"/>
      <c r="G50" s="26"/>
      <c r="H50" s="29"/>
      <c r="I50" s="27"/>
      <c r="J50" s="27"/>
      <c r="K50" s="27"/>
      <c r="L50" s="29"/>
      <c r="M50" s="36"/>
      <c r="N50" s="28"/>
      <c r="O50" s="12"/>
      <c r="P50" s="8"/>
      <c r="Q50" s="27"/>
      <c r="R50" s="27"/>
      <c r="S50" s="27"/>
      <c r="T50" s="27"/>
      <c r="U50" s="27"/>
      <c r="V50" s="12">
        <f t="shared" si="15"/>
        <v>0</v>
      </c>
    </row>
    <row r="51" spans="1:22" ht="21" customHeight="1" x14ac:dyDescent="0.45">
      <c r="A51" s="11">
        <v>42</v>
      </c>
      <c r="B51" s="226" t="s">
        <v>81</v>
      </c>
      <c r="C51" s="43" t="s">
        <v>82</v>
      </c>
      <c r="D51" s="212" t="s">
        <v>165</v>
      </c>
      <c r="E51" s="57"/>
      <c r="F51" s="40"/>
      <c r="G51" s="26"/>
      <c r="H51" s="29"/>
      <c r="I51" s="27"/>
      <c r="J51" s="27"/>
      <c r="K51" s="27"/>
      <c r="L51" s="29"/>
      <c r="M51" s="36"/>
      <c r="N51" s="28"/>
      <c r="O51" s="12"/>
      <c r="P51" s="8"/>
      <c r="Q51" s="27"/>
      <c r="R51" s="27"/>
      <c r="S51" s="27"/>
      <c r="T51" s="27"/>
      <c r="U51" s="27"/>
      <c r="V51" s="12">
        <f>E51+F51+G51+H51+I51+J51+K51+L51+M51-N51-O51-P51-Q51-R51-S51-T51-U51</f>
        <v>0</v>
      </c>
    </row>
    <row r="52" spans="1:22" ht="21" customHeight="1" x14ac:dyDescent="0.45">
      <c r="A52" s="11">
        <v>43</v>
      </c>
      <c r="B52" s="226" t="s">
        <v>612</v>
      </c>
      <c r="C52" s="43" t="s">
        <v>613</v>
      </c>
      <c r="D52" s="212" t="s">
        <v>308</v>
      </c>
      <c r="E52" s="57"/>
      <c r="F52" s="40"/>
      <c r="G52" s="26"/>
      <c r="H52" s="29"/>
      <c r="I52" s="27"/>
      <c r="J52" s="27"/>
      <c r="K52" s="27"/>
      <c r="L52" s="29"/>
      <c r="M52" s="36"/>
      <c r="N52" s="28"/>
      <c r="O52" s="12"/>
      <c r="P52" s="8"/>
      <c r="Q52" s="27"/>
      <c r="R52" s="27"/>
      <c r="S52" s="27"/>
      <c r="T52" s="27"/>
      <c r="U52" s="27"/>
      <c r="V52" s="12">
        <f t="shared" ref="V52:V53" si="16">E52+F52+G52+H52+I52+J52+K52+L52+M52-N52-O52-P52-Q52-R52-S52-T52-U52</f>
        <v>0</v>
      </c>
    </row>
    <row r="53" spans="1:22" ht="21" customHeight="1" x14ac:dyDescent="0.45">
      <c r="A53" s="11">
        <v>44</v>
      </c>
      <c r="B53" s="173" t="s">
        <v>614</v>
      </c>
      <c r="C53" s="43" t="s">
        <v>615</v>
      </c>
      <c r="D53" s="212" t="s">
        <v>165</v>
      </c>
      <c r="E53" s="57"/>
      <c r="F53" s="40"/>
      <c r="G53" s="26"/>
      <c r="H53" s="29"/>
      <c r="I53" s="27"/>
      <c r="J53" s="27"/>
      <c r="K53" s="27"/>
      <c r="L53" s="29"/>
      <c r="M53" s="36"/>
      <c r="N53" s="28"/>
      <c r="O53" s="12"/>
      <c r="P53" s="8"/>
      <c r="Q53" s="27"/>
      <c r="R53" s="27"/>
      <c r="S53" s="27"/>
      <c r="T53" s="27"/>
      <c r="U53" s="27"/>
      <c r="V53" s="12">
        <f t="shared" si="16"/>
        <v>0</v>
      </c>
    </row>
    <row r="54" spans="1:22" ht="21" customHeight="1" x14ac:dyDescent="0.45">
      <c r="A54" s="11"/>
      <c r="B54" s="173"/>
      <c r="C54" s="43"/>
      <c r="D54" s="8"/>
      <c r="E54" s="57"/>
      <c r="F54" s="40"/>
      <c r="G54" s="26"/>
      <c r="H54" s="29"/>
      <c r="I54" s="27"/>
      <c r="J54" s="27"/>
      <c r="K54" s="27"/>
      <c r="L54" s="29"/>
      <c r="M54" s="36"/>
      <c r="N54" s="28"/>
      <c r="O54" s="12"/>
      <c r="P54" s="8"/>
      <c r="Q54" s="27"/>
      <c r="R54" s="27"/>
      <c r="S54" s="27"/>
      <c r="T54" s="27"/>
      <c r="U54" s="27"/>
      <c r="V54" s="12"/>
    </row>
    <row r="55" spans="1:22" s="14" customFormat="1" x14ac:dyDescent="0.45">
      <c r="A55" s="253" t="s">
        <v>58</v>
      </c>
      <c r="B55" s="278"/>
      <c r="C55" s="278"/>
      <c r="D55" s="278"/>
      <c r="E55" s="185">
        <f>SUM(E46:E54)</f>
        <v>7</v>
      </c>
      <c r="F55" s="185">
        <f t="shared" ref="F55:U55" si="17">SUM(F46:F54)</f>
        <v>0</v>
      </c>
      <c r="G55" s="185">
        <f t="shared" si="17"/>
        <v>0</v>
      </c>
      <c r="H55" s="185">
        <f>SUM(H46:H54)</f>
        <v>0</v>
      </c>
      <c r="I55" s="185">
        <f t="shared" si="17"/>
        <v>0</v>
      </c>
      <c r="J55" s="185">
        <f t="shared" si="17"/>
        <v>0</v>
      </c>
      <c r="K55" s="185">
        <f t="shared" si="17"/>
        <v>0</v>
      </c>
      <c r="L55" s="185">
        <f t="shared" si="17"/>
        <v>0</v>
      </c>
      <c r="M55" s="185">
        <f t="shared" si="17"/>
        <v>0</v>
      </c>
      <c r="N55" s="186">
        <f t="shared" si="17"/>
        <v>0</v>
      </c>
      <c r="O55" s="182">
        <f t="shared" si="17"/>
        <v>0</v>
      </c>
      <c r="P55" s="182">
        <f t="shared" si="17"/>
        <v>0</v>
      </c>
      <c r="Q55" s="182">
        <f t="shared" si="17"/>
        <v>0</v>
      </c>
      <c r="R55" s="182">
        <f t="shared" si="17"/>
        <v>0</v>
      </c>
      <c r="S55" s="182">
        <f t="shared" si="17"/>
        <v>0</v>
      </c>
      <c r="T55" s="182">
        <f t="shared" si="17"/>
        <v>0</v>
      </c>
      <c r="U55" s="182">
        <f t="shared" si="17"/>
        <v>0</v>
      </c>
      <c r="V55" s="239">
        <f>SUM(V46:V54)</f>
        <v>7</v>
      </c>
    </row>
    <row r="56" spans="1:22" x14ac:dyDescent="0.45">
      <c r="P56" s="240"/>
      <c r="Q56" s="241"/>
    </row>
  </sheetData>
  <mergeCells count="30">
    <mergeCell ref="O4:O7"/>
    <mergeCell ref="P4:P7"/>
    <mergeCell ref="Q4:Q7"/>
    <mergeCell ref="R4:R7"/>
    <mergeCell ref="J4:J7"/>
    <mergeCell ref="K4:K7"/>
    <mergeCell ref="L4:L7"/>
    <mergeCell ref="M4:M7"/>
    <mergeCell ref="N4:N7"/>
    <mergeCell ref="A26:D26"/>
    <mergeCell ref="A45:D45"/>
    <mergeCell ref="A46:D46"/>
    <mergeCell ref="A27:D27"/>
    <mergeCell ref="A55:D55"/>
    <mergeCell ref="A1:V1"/>
    <mergeCell ref="A2:V2"/>
    <mergeCell ref="A3:A7"/>
    <mergeCell ref="B3:C7"/>
    <mergeCell ref="D3:M3"/>
    <mergeCell ref="N3:V3"/>
    <mergeCell ref="D4:D7"/>
    <mergeCell ref="E4:E7"/>
    <mergeCell ref="F4:F7"/>
    <mergeCell ref="G4:G7"/>
    <mergeCell ref="V4:V7"/>
    <mergeCell ref="S4:S7"/>
    <mergeCell ref="T4:T7"/>
    <mergeCell ref="U4:U7"/>
    <mergeCell ref="H4:H7"/>
    <mergeCell ref="I4:I7"/>
  </mergeCells>
  <phoneticPr fontId="20" type="noConversion"/>
  <pageMargins left="0.39370078740157483" right="0" top="0.39370078740157483" bottom="0.39370078740157483" header="0.31496062992125984" footer="0.31496062992125984"/>
  <pageSetup paperSize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249977111117893"/>
  </sheetPr>
  <dimension ref="A1:Y43"/>
  <sheetViews>
    <sheetView zoomScale="80" zoomScaleNormal="8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K18" sqref="K18"/>
    </sheetView>
  </sheetViews>
  <sheetFormatPr defaultColWidth="9" defaultRowHeight="21" x14ac:dyDescent="0.45"/>
  <cols>
    <col min="1" max="1" width="3" style="9" customWidth="1"/>
    <col min="2" max="2" width="11.875" style="3" customWidth="1"/>
    <col min="3" max="3" width="12.375" style="3" customWidth="1"/>
    <col min="4" max="4" width="7" style="3" customWidth="1"/>
    <col min="5" max="5" width="6.625" style="34" customWidth="1"/>
    <col min="6" max="6" width="6.625" style="3" customWidth="1"/>
    <col min="7" max="8" width="5.625" style="3" customWidth="1"/>
    <col min="9" max="9" width="10" style="34" customWidth="1"/>
    <col min="10" max="10" width="10.625" style="143" customWidth="1"/>
    <col min="11" max="11" width="9.125" style="34" customWidth="1"/>
    <col min="12" max="13" width="4.625" style="3" customWidth="1"/>
    <col min="14" max="16" width="5.625" style="3" customWidth="1"/>
    <col min="17" max="21" width="5.625" style="34" customWidth="1"/>
    <col min="22" max="22" width="12.625" style="3" customWidth="1"/>
    <col min="23" max="16384" width="9" style="3"/>
  </cols>
  <sheetData>
    <row r="1" spans="1:25" ht="23.25" x14ac:dyDescent="0.5">
      <c r="A1" s="251" t="s">
        <v>218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"/>
      <c r="X1" s="2"/>
      <c r="Y1" s="2"/>
    </row>
    <row r="2" spans="1:25" ht="23.25" x14ac:dyDescent="0.5">
      <c r="A2" s="263" t="str">
        <f>[1]ข้าราชการ!A2</f>
        <v>ประจำเดือนพฤศจิกายน  2568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</row>
    <row r="3" spans="1:25" ht="18.95" customHeight="1" x14ac:dyDescent="0.45">
      <c r="A3" s="254" t="s">
        <v>8</v>
      </c>
      <c r="B3" s="257" t="s">
        <v>1</v>
      </c>
      <c r="C3" s="258"/>
      <c r="D3" s="252" t="s">
        <v>9</v>
      </c>
      <c r="E3" s="252"/>
      <c r="F3" s="252"/>
      <c r="G3" s="252"/>
      <c r="H3" s="252"/>
      <c r="I3" s="252"/>
      <c r="J3" s="252"/>
      <c r="K3" s="252"/>
      <c r="L3" s="252"/>
      <c r="M3" s="253"/>
      <c r="N3" s="267" t="s">
        <v>10</v>
      </c>
      <c r="O3" s="252"/>
      <c r="P3" s="252"/>
      <c r="Q3" s="252"/>
      <c r="R3" s="252"/>
      <c r="S3" s="252"/>
      <c r="T3" s="252"/>
      <c r="U3" s="252"/>
      <c r="V3" s="252"/>
    </row>
    <row r="4" spans="1:25" ht="18.95" customHeight="1" x14ac:dyDescent="0.45">
      <c r="A4" s="255"/>
      <c r="B4" s="259"/>
      <c r="C4" s="260"/>
      <c r="D4" s="254" t="s">
        <v>2</v>
      </c>
      <c r="E4" s="271" t="s">
        <v>3</v>
      </c>
      <c r="F4" s="283" t="s">
        <v>4</v>
      </c>
      <c r="G4" s="290" t="s">
        <v>107</v>
      </c>
      <c r="H4" s="280" t="s">
        <v>601</v>
      </c>
      <c r="I4" s="248" t="s">
        <v>630</v>
      </c>
      <c r="J4" s="268" t="s">
        <v>631</v>
      </c>
      <c r="K4" s="277" t="s">
        <v>636</v>
      </c>
      <c r="L4" s="283" t="s">
        <v>6</v>
      </c>
      <c r="M4" s="287" t="s">
        <v>7</v>
      </c>
      <c r="N4" s="266" t="s">
        <v>217</v>
      </c>
      <c r="O4" s="264" t="s">
        <v>109</v>
      </c>
      <c r="P4" s="264" t="s">
        <v>54</v>
      </c>
      <c r="Q4" s="265" t="s">
        <v>214</v>
      </c>
      <c r="R4" s="265" t="s">
        <v>55</v>
      </c>
      <c r="S4" s="265" t="s">
        <v>137</v>
      </c>
      <c r="T4" s="265" t="s">
        <v>56</v>
      </c>
      <c r="U4" s="265" t="s">
        <v>57</v>
      </c>
      <c r="V4" s="264" t="s">
        <v>59</v>
      </c>
    </row>
    <row r="5" spans="1:25" ht="18.95" customHeight="1" x14ac:dyDescent="0.45">
      <c r="A5" s="255"/>
      <c r="B5" s="259"/>
      <c r="C5" s="260"/>
      <c r="D5" s="255"/>
      <c r="E5" s="272"/>
      <c r="F5" s="281"/>
      <c r="G5" s="291"/>
      <c r="H5" s="281"/>
      <c r="I5" s="249"/>
      <c r="J5" s="269"/>
      <c r="K5" s="272"/>
      <c r="L5" s="281"/>
      <c r="M5" s="288"/>
      <c r="N5" s="266"/>
      <c r="O5" s="264"/>
      <c r="P5" s="264"/>
      <c r="Q5" s="265"/>
      <c r="R5" s="265"/>
      <c r="S5" s="265"/>
      <c r="T5" s="265"/>
      <c r="U5" s="265"/>
      <c r="V5" s="264"/>
    </row>
    <row r="6" spans="1:25" ht="18.95" customHeight="1" x14ac:dyDescent="0.45">
      <c r="A6" s="255"/>
      <c r="B6" s="259"/>
      <c r="C6" s="260"/>
      <c r="D6" s="255"/>
      <c r="E6" s="272"/>
      <c r="F6" s="281"/>
      <c r="G6" s="291"/>
      <c r="H6" s="281"/>
      <c r="I6" s="249"/>
      <c r="J6" s="269"/>
      <c r="K6" s="272"/>
      <c r="L6" s="281"/>
      <c r="M6" s="288"/>
      <c r="N6" s="266"/>
      <c r="O6" s="264"/>
      <c r="P6" s="264"/>
      <c r="Q6" s="265"/>
      <c r="R6" s="265"/>
      <c r="S6" s="265"/>
      <c r="T6" s="265"/>
      <c r="U6" s="265"/>
      <c r="V6" s="264"/>
    </row>
    <row r="7" spans="1:25" ht="18.95" customHeight="1" x14ac:dyDescent="0.45">
      <c r="A7" s="256"/>
      <c r="B7" s="261"/>
      <c r="C7" s="262"/>
      <c r="D7" s="256"/>
      <c r="E7" s="273"/>
      <c r="F7" s="282"/>
      <c r="G7" s="292"/>
      <c r="H7" s="282"/>
      <c r="I7" s="250"/>
      <c r="J7" s="270"/>
      <c r="K7" s="273"/>
      <c r="L7" s="282"/>
      <c r="M7" s="289"/>
      <c r="N7" s="266"/>
      <c r="O7" s="264"/>
      <c r="P7" s="264"/>
      <c r="Q7" s="265"/>
      <c r="R7" s="265"/>
      <c r="S7" s="265"/>
      <c r="T7" s="265"/>
      <c r="U7" s="265"/>
      <c r="V7" s="264"/>
    </row>
    <row r="8" spans="1:25" ht="18.95" customHeight="1" x14ac:dyDescent="0.45">
      <c r="A8" s="11">
        <v>1</v>
      </c>
      <c r="B8" s="36" t="s">
        <v>219</v>
      </c>
      <c r="C8" s="43" t="s">
        <v>220</v>
      </c>
      <c r="D8" s="22"/>
      <c r="E8" s="57"/>
      <c r="F8" s="40"/>
      <c r="G8" s="26"/>
      <c r="H8" s="8"/>
      <c r="I8" s="27"/>
      <c r="J8" s="125">
        <v>2</v>
      </c>
      <c r="K8" s="27"/>
      <c r="L8" s="8"/>
      <c r="M8" s="36"/>
      <c r="N8" s="28"/>
      <c r="O8" s="12"/>
      <c r="P8" s="8"/>
      <c r="Q8" s="27"/>
      <c r="R8" s="27"/>
      <c r="S8" s="27"/>
      <c r="T8" s="27"/>
      <c r="U8" s="27"/>
      <c r="V8" s="12">
        <f>E8+F8+G8+H8+I8+J8+K8+L8+M8-N8-O8-P8-Q8-R8-S8-T8-U8</f>
        <v>2</v>
      </c>
    </row>
    <row r="9" spans="1:25" ht="18.95" customHeight="1" x14ac:dyDescent="0.45">
      <c r="A9" s="11">
        <v>2</v>
      </c>
      <c r="B9" s="36" t="s">
        <v>275</v>
      </c>
      <c r="C9" s="43" t="s">
        <v>280</v>
      </c>
      <c r="D9" s="19"/>
      <c r="E9" s="57"/>
      <c r="F9" s="40"/>
      <c r="G9" s="26"/>
      <c r="H9" s="8"/>
      <c r="I9" s="27"/>
      <c r="J9" s="125"/>
      <c r="K9" s="27"/>
      <c r="L9" s="8"/>
      <c r="M9" s="36"/>
      <c r="N9" s="28"/>
      <c r="O9" s="12"/>
      <c r="P9" s="8"/>
      <c r="Q9" s="27"/>
      <c r="R9" s="27"/>
      <c r="S9" s="27"/>
      <c r="T9" s="27"/>
      <c r="U9" s="27"/>
      <c r="V9" s="12">
        <f t="shared" ref="V9:V26" si="0">E9+F9+G9+H9+I9+J9+K9+L9+M9-N9-O9-P9-Q9-R9-S9-T9-U9</f>
        <v>0</v>
      </c>
    </row>
    <row r="10" spans="1:25" ht="18.95" customHeight="1" x14ac:dyDescent="0.45">
      <c r="A10" s="11">
        <v>3</v>
      </c>
      <c r="B10" s="36" t="s">
        <v>538</v>
      </c>
      <c r="C10" s="7" t="s">
        <v>488</v>
      </c>
      <c r="D10" s="19"/>
      <c r="E10" s="57"/>
      <c r="F10" s="40"/>
      <c r="G10" s="26"/>
      <c r="H10" s="8"/>
      <c r="I10" s="27"/>
      <c r="J10" s="125"/>
      <c r="K10" s="27"/>
      <c r="L10" s="8"/>
      <c r="M10" s="36"/>
      <c r="N10" s="28"/>
      <c r="O10" s="12"/>
      <c r="P10" s="8"/>
      <c r="Q10" s="27"/>
      <c r="R10" s="27"/>
      <c r="S10" s="27"/>
      <c r="T10" s="27"/>
      <c r="U10" s="27"/>
      <c r="V10" s="12">
        <f t="shared" si="0"/>
        <v>0</v>
      </c>
    </row>
    <row r="11" spans="1:25" ht="18.95" customHeight="1" x14ac:dyDescent="0.45">
      <c r="A11" s="11">
        <v>4</v>
      </c>
      <c r="B11" s="36" t="s">
        <v>499</v>
      </c>
      <c r="C11" s="43" t="s">
        <v>524</v>
      </c>
      <c r="D11" s="19"/>
      <c r="E11" s="57"/>
      <c r="F11" s="40"/>
      <c r="G11" s="26"/>
      <c r="H11" s="8"/>
      <c r="I11" s="27"/>
      <c r="J11" s="125"/>
      <c r="K11" s="27"/>
      <c r="L11" s="8"/>
      <c r="M11" s="36"/>
      <c r="N11" s="28"/>
      <c r="O11" s="12"/>
      <c r="P11" s="8"/>
      <c r="Q11" s="27"/>
      <c r="R11" s="27"/>
      <c r="S11" s="27"/>
      <c r="T11" s="27"/>
      <c r="U11" s="27"/>
      <c r="V11" s="12">
        <f t="shared" si="0"/>
        <v>0</v>
      </c>
    </row>
    <row r="12" spans="1:25" ht="18.95" customHeight="1" x14ac:dyDescent="0.45">
      <c r="A12" s="11">
        <v>5</v>
      </c>
      <c r="B12" s="36" t="s">
        <v>499</v>
      </c>
      <c r="C12" s="43" t="s">
        <v>500</v>
      </c>
      <c r="D12" s="19"/>
      <c r="E12" s="57"/>
      <c r="F12" s="40"/>
      <c r="G12" s="26"/>
      <c r="H12" s="8"/>
      <c r="I12" s="27"/>
      <c r="J12" s="125"/>
      <c r="K12" s="27"/>
      <c r="L12" s="8"/>
      <c r="M12" s="36"/>
      <c r="N12" s="28"/>
      <c r="O12" s="12"/>
      <c r="P12" s="8"/>
      <c r="Q12" s="27"/>
      <c r="R12" s="27"/>
      <c r="S12" s="27"/>
      <c r="T12" s="27"/>
      <c r="U12" s="27"/>
      <c r="V12" s="12">
        <f t="shared" si="0"/>
        <v>0</v>
      </c>
    </row>
    <row r="13" spans="1:25" ht="18.95" customHeight="1" x14ac:dyDescent="0.45">
      <c r="A13" s="11">
        <v>6</v>
      </c>
      <c r="B13" s="36" t="s">
        <v>637</v>
      </c>
      <c r="C13" s="43" t="s">
        <v>638</v>
      </c>
      <c r="D13" s="19"/>
      <c r="E13" s="57"/>
      <c r="F13" s="40"/>
      <c r="G13" s="26"/>
      <c r="H13" s="8"/>
      <c r="I13" s="27"/>
      <c r="J13" s="125"/>
      <c r="K13" s="27"/>
      <c r="L13" s="8"/>
      <c r="M13" s="36"/>
      <c r="N13" s="28"/>
      <c r="O13" s="12"/>
      <c r="P13" s="8"/>
      <c r="Q13" s="27"/>
      <c r="R13" s="27"/>
      <c r="S13" s="27"/>
      <c r="T13" s="27"/>
      <c r="U13" s="27"/>
      <c r="V13" s="12">
        <f t="shared" si="0"/>
        <v>0</v>
      </c>
    </row>
    <row r="14" spans="1:25" ht="18.95" customHeight="1" x14ac:dyDescent="0.45">
      <c r="A14" s="11">
        <v>7</v>
      </c>
      <c r="B14" s="20" t="s">
        <v>20</v>
      </c>
      <c r="C14" s="21" t="s">
        <v>144</v>
      </c>
      <c r="D14" s="19"/>
      <c r="E14" s="57"/>
      <c r="F14" s="40"/>
      <c r="G14" s="26"/>
      <c r="H14" s="8"/>
      <c r="I14" s="27"/>
      <c r="J14" s="125"/>
      <c r="K14" s="27"/>
      <c r="L14" s="8"/>
      <c r="M14" s="36"/>
      <c r="N14" s="28"/>
      <c r="O14" s="12"/>
      <c r="P14" s="8"/>
      <c r="Q14" s="27"/>
      <c r="R14" s="27"/>
      <c r="S14" s="27"/>
      <c r="T14" s="27"/>
      <c r="U14" s="27"/>
      <c r="V14" s="12">
        <f t="shared" si="0"/>
        <v>0</v>
      </c>
    </row>
    <row r="15" spans="1:25" ht="18.95" customHeight="1" x14ac:dyDescent="0.45">
      <c r="A15" s="11">
        <v>8</v>
      </c>
      <c r="B15" s="36" t="s">
        <v>31</v>
      </c>
      <c r="C15" s="7" t="s">
        <v>32</v>
      </c>
      <c r="D15" s="19"/>
      <c r="E15" s="57"/>
      <c r="F15" s="40"/>
      <c r="G15" s="26"/>
      <c r="H15" s="8"/>
      <c r="I15" s="27"/>
      <c r="J15" s="125"/>
      <c r="K15" s="27"/>
      <c r="L15" s="8"/>
      <c r="M15" s="36"/>
      <c r="N15" s="28"/>
      <c r="O15" s="12"/>
      <c r="P15" s="8"/>
      <c r="Q15" s="27"/>
      <c r="R15" s="27"/>
      <c r="S15" s="27"/>
      <c r="T15" s="27"/>
      <c r="U15" s="27"/>
      <c r="V15" s="12">
        <f t="shared" si="0"/>
        <v>0</v>
      </c>
    </row>
    <row r="16" spans="1:25" ht="18.95" customHeight="1" x14ac:dyDescent="0.45">
      <c r="A16" s="11">
        <v>9</v>
      </c>
      <c r="B16" s="36" t="s">
        <v>491</v>
      </c>
      <c r="C16" s="7" t="s">
        <v>492</v>
      </c>
      <c r="D16" s="19"/>
      <c r="E16" s="57"/>
      <c r="F16" s="40"/>
      <c r="G16" s="26"/>
      <c r="H16" s="8"/>
      <c r="I16" s="27"/>
      <c r="J16" s="125"/>
      <c r="K16" s="27"/>
      <c r="L16" s="8"/>
      <c r="M16" s="36"/>
      <c r="N16" s="28"/>
      <c r="O16" s="12"/>
      <c r="P16" s="8"/>
      <c r="Q16" s="27"/>
      <c r="R16" s="27"/>
      <c r="S16" s="27"/>
      <c r="T16" s="27"/>
      <c r="U16" s="27"/>
      <c r="V16" s="12">
        <f t="shared" si="0"/>
        <v>0</v>
      </c>
    </row>
    <row r="17" spans="1:22" ht="18.95" customHeight="1" x14ac:dyDescent="0.45">
      <c r="A17" s="11">
        <v>10</v>
      </c>
      <c r="B17" s="36" t="s">
        <v>493</v>
      </c>
      <c r="C17" s="7" t="s">
        <v>494</v>
      </c>
      <c r="D17" s="19"/>
      <c r="E17" s="57"/>
      <c r="F17" s="40"/>
      <c r="G17" s="26"/>
      <c r="H17" s="8"/>
      <c r="I17" s="27"/>
      <c r="J17" s="125"/>
      <c r="K17" s="27">
        <v>40</v>
      </c>
      <c r="L17" s="8"/>
      <c r="M17" s="36"/>
      <c r="N17" s="28"/>
      <c r="O17" s="12"/>
      <c r="P17" s="8"/>
      <c r="Q17" s="27"/>
      <c r="R17" s="27"/>
      <c r="S17" s="27"/>
      <c r="T17" s="27"/>
      <c r="U17" s="27"/>
      <c r="V17" s="12">
        <f t="shared" si="0"/>
        <v>40</v>
      </c>
    </row>
    <row r="18" spans="1:22" ht="18.95" customHeight="1" x14ac:dyDescent="0.45">
      <c r="A18" s="11">
        <v>11</v>
      </c>
      <c r="B18" s="36" t="s">
        <v>495</v>
      </c>
      <c r="C18" s="7" t="s">
        <v>496</v>
      </c>
      <c r="D18" s="19"/>
      <c r="E18" s="57"/>
      <c r="F18" s="40"/>
      <c r="G18" s="26"/>
      <c r="H18" s="8"/>
      <c r="I18" s="27"/>
      <c r="J18" s="125"/>
      <c r="K18" s="27"/>
      <c r="L18" s="8"/>
      <c r="M18" s="36"/>
      <c r="N18" s="28"/>
      <c r="O18" s="12"/>
      <c r="P18" s="8"/>
      <c r="Q18" s="27"/>
      <c r="R18" s="27"/>
      <c r="S18" s="27"/>
      <c r="T18" s="27"/>
      <c r="U18" s="27"/>
      <c r="V18" s="12">
        <f t="shared" si="0"/>
        <v>0</v>
      </c>
    </row>
    <row r="19" spans="1:22" ht="18.95" customHeight="1" x14ac:dyDescent="0.45">
      <c r="A19" s="11">
        <v>12</v>
      </c>
      <c r="B19" s="36" t="s">
        <v>639</v>
      </c>
      <c r="C19" s="7" t="s">
        <v>640</v>
      </c>
      <c r="D19" s="19"/>
      <c r="E19" s="57"/>
      <c r="F19" s="40"/>
      <c r="G19" s="26"/>
      <c r="H19" s="8"/>
      <c r="I19" s="27"/>
      <c r="J19" s="125"/>
      <c r="K19" s="27"/>
      <c r="L19" s="8"/>
      <c r="M19" s="36"/>
      <c r="N19" s="28"/>
      <c r="O19" s="12"/>
      <c r="P19" s="8"/>
      <c r="Q19" s="27"/>
      <c r="R19" s="27"/>
      <c r="S19" s="27"/>
      <c r="T19" s="27"/>
      <c r="U19" s="27"/>
      <c r="V19" s="12">
        <f t="shared" si="0"/>
        <v>0</v>
      </c>
    </row>
    <row r="20" spans="1:22" ht="18.95" customHeight="1" x14ac:dyDescent="0.45">
      <c r="A20" s="11">
        <v>13</v>
      </c>
      <c r="B20" s="36" t="s">
        <v>641</v>
      </c>
      <c r="C20" s="7" t="s">
        <v>642</v>
      </c>
      <c r="D20" s="19"/>
      <c r="E20" s="57"/>
      <c r="F20" s="40"/>
      <c r="G20" s="26"/>
      <c r="H20" s="8"/>
      <c r="I20" s="27"/>
      <c r="J20" s="125"/>
      <c r="K20" s="27"/>
      <c r="L20" s="8"/>
      <c r="M20" s="36"/>
      <c r="N20" s="28"/>
      <c r="O20" s="12"/>
      <c r="P20" s="8"/>
      <c r="Q20" s="27"/>
      <c r="R20" s="27"/>
      <c r="S20" s="27"/>
      <c r="T20" s="27"/>
      <c r="U20" s="27"/>
      <c r="V20" s="12">
        <f t="shared" si="0"/>
        <v>0</v>
      </c>
    </row>
    <row r="21" spans="1:22" ht="18.95" customHeight="1" x14ac:dyDescent="0.45">
      <c r="A21" s="11">
        <v>14</v>
      </c>
      <c r="B21" s="36" t="s">
        <v>643</v>
      </c>
      <c r="C21" s="7" t="s">
        <v>644</v>
      </c>
      <c r="D21" s="19"/>
      <c r="E21" s="57"/>
      <c r="F21" s="40"/>
      <c r="G21" s="26"/>
      <c r="H21" s="8"/>
      <c r="I21" s="27"/>
      <c r="J21" s="125"/>
      <c r="K21" s="27"/>
      <c r="L21" s="8"/>
      <c r="M21" s="36"/>
      <c r="N21" s="28"/>
      <c r="O21" s="12"/>
      <c r="P21" s="8"/>
      <c r="Q21" s="27"/>
      <c r="R21" s="27"/>
      <c r="S21" s="27"/>
      <c r="T21" s="27"/>
      <c r="U21" s="27"/>
      <c r="V21" s="12">
        <f t="shared" si="0"/>
        <v>0</v>
      </c>
    </row>
    <row r="22" spans="1:22" ht="18.95" customHeight="1" x14ac:dyDescent="0.45">
      <c r="A22" s="11">
        <v>15</v>
      </c>
      <c r="B22" s="36" t="s">
        <v>645</v>
      </c>
      <c r="C22" s="7" t="s">
        <v>646</v>
      </c>
      <c r="D22" s="19"/>
      <c r="E22" s="57"/>
      <c r="F22" s="40"/>
      <c r="G22" s="26"/>
      <c r="H22" s="8"/>
      <c r="I22" s="27"/>
      <c r="J22" s="125"/>
      <c r="K22" s="27"/>
      <c r="L22" s="8"/>
      <c r="M22" s="36"/>
      <c r="N22" s="28"/>
      <c r="O22" s="12"/>
      <c r="P22" s="8"/>
      <c r="Q22" s="27"/>
      <c r="R22" s="27"/>
      <c r="S22" s="27"/>
      <c r="T22" s="27"/>
      <c r="U22" s="27"/>
      <c r="V22" s="12">
        <f t="shared" si="0"/>
        <v>0</v>
      </c>
    </row>
    <row r="23" spans="1:22" ht="18.95" customHeight="1" x14ac:dyDescent="0.45">
      <c r="A23" s="11">
        <v>16</v>
      </c>
      <c r="B23" s="36" t="s">
        <v>517</v>
      </c>
      <c r="C23" s="7" t="s">
        <v>518</v>
      </c>
      <c r="D23" s="19"/>
      <c r="E23" s="57"/>
      <c r="F23" s="40"/>
      <c r="G23" s="26"/>
      <c r="H23" s="8"/>
      <c r="I23" s="27"/>
      <c r="J23" s="125"/>
      <c r="K23" s="27"/>
      <c r="L23" s="8"/>
      <c r="M23" s="36"/>
      <c r="N23" s="28"/>
      <c r="O23" s="12"/>
      <c r="P23" s="8"/>
      <c r="Q23" s="27"/>
      <c r="R23" s="27"/>
      <c r="S23" s="27"/>
      <c r="T23" s="27"/>
      <c r="U23" s="27"/>
      <c r="V23" s="12">
        <f t="shared" si="0"/>
        <v>0</v>
      </c>
    </row>
    <row r="24" spans="1:22" ht="18.95" customHeight="1" x14ac:dyDescent="0.45">
      <c r="A24" s="11">
        <v>17</v>
      </c>
      <c r="B24" s="6" t="s">
        <v>33</v>
      </c>
      <c r="C24" s="137" t="s">
        <v>34</v>
      </c>
      <c r="D24" s="245"/>
      <c r="E24" s="57"/>
      <c r="F24" s="40"/>
      <c r="G24" s="26"/>
      <c r="H24" s="8"/>
      <c r="I24" s="27"/>
      <c r="J24" s="125"/>
      <c r="K24" s="27"/>
      <c r="L24" s="8"/>
      <c r="M24" s="36"/>
      <c r="N24" s="28"/>
      <c r="O24" s="12"/>
      <c r="P24" s="8"/>
      <c r="Q24" s="27"/>
      <c r="R24" s="27"/>
      <c r="S24" s="27"/>
      <c r="T24" s="27"/>
      <c r="U24" s="27"/>
      <c r="V24" s="12">
        <f t="shared" si="0"/>
        <v>0</v>
      </c>
    </row>
    <row r="25" spans="1:22" ht="18.95" customHeight="1" x14ac:dyDescent="0.45">
      <c r="A25" s="11">
        <v>18</v>
      </c>
      <c r="B25" s="43" t="s">
        <v>592</v>
      </c>
      <c r="C25" s="43" t="s">
        <v>593</v>
      </c>
      <c r="D25" s="245"/>
      <c r="E25" s="57"/>
      <c r="F25" s="40"/>
      <c r="G25" s="26"/>
      <c r="H25" s="8"/>
      <c r="I25" s="27"/>
      <c r="J25" s="125"/>
      <c r="K25" s="27"/>
      <c r="L25" s="8"/>
      <c r="M25" s="36"/>
      <c r="N25" s="28"/>
      <c r="O25" s="12"/>
      <c r="P25" s="8"/>
      <c r="Q25" s="27"/>
      <c r="R25" s="27"/>
      <c r="S25" s="27"/>
      <c r="T25" s="27"/>
      <c r="U25" s="27"/>
      <c r="V25" s="12">
        <f t="shared" si="0"/>
        <v>0</v>
      </c>
    </row>
    <row r="26" spans="1:22" ht="18.95" customHeight="1" x14ac:dyDescent="0.45">
      <c r="A26" s="11">
        <v>19</v>
      </c>
      <c r="B26" s="43" t="s">
        <v>602</v>
      </c>
      <c r="C26" s="43" t="s">
        <v>603</v>
      </c>
      <c r="D26" s="245"/>
      <c r="E26" s="57"/>
      <c r="F26" s="40"/>
      <c r="G26" s="26"/>
      <c r="H26" s="8"/>
      <c r="I26" s="27"/>
      <c r="J26" s="125"/>
      <c r="K26" s="27"/>
      <c r="L26" s="8"/>
      <c r="M26" s="36"/>
      <c r="N26" s="28"/>
      <c r="O26" s="12"/>
      <c r="P26" s="8"/>
      <c r="Q26" s="27"/>
      <c r="R26" s="27"/>
      <c r="S26" s="27"/>
      <c r="T26" s="27"/>
      <c r="U26" s="27"/>
      <c r="V26" s="12">
        <f t="shared" si="0"/>
        <v>0</v>
      </c>
    </row>
    <row r="27" spans="1:22" s="14" customFormat="1" ht="18.95" customHeight="1" x14ac:dyDescent="0.45">
      <c r="A27" s="253" t="s">
        <v>58</v>
      </c>
      <c r="B27" s="278"/>
      <c r="C27" s="278"/>
      <c r="D27" s="278"/>
      <c r="E27" s="142">
        <f t="shared" ref="E27:I27" si="1">SUM(E8:E26)</f>
        <v>0</v>
      </c>
      <c r="F27" s="142">
        <f t="shared" si="1"/>
        <v>0</v>
      </c>
      <c r="G27" s="142">
        <f t="shared" si="1"/>
        <v>0</v>
      </c>
      <c r="H27" s="142">
        <f t="shared" si="1"/>
        <v>0</v>
      </c>
      <c r="I27" s="142">
        <f t="shared" si="1"/>
        <v>0</v>
      </c>
      <c r="J27" s="142">
        <f>SUM(J8:J26)</f>
        <v>2</v>
      </c>
      <c r="K27" s="142">
        <f t="shared" ref="K27:L27" si="2">SUM(K8:K26)</f>
        <v>40</v>
      </c>
      <c r="L27" s="142">
        <f t="shared" si="2"/>
        <v>0</v>
      </c>
      <c r="M27" s="38">
        <f>SUM(M8:M26)</f>
        <v>0</v>
      </c>
      <c r="N27" s="53">
        <f>SUM(N8:N26)</f>
        <v>0</v>
      </c>
      <c r="O27" s="30">
        <f>SUM(O8:O26)</f>
        <v>0</v>
      </c>
      <c r="P27" s="30">
        <f t="shared" ref="P27:U27" si="3">SUM(P8:P26)</f>
        <v>0</v>
      </c>
      <c r="Q27" s="30">
        <f t="shared" si="3"/>
        <v>0</v>
      </c>
      <c r="R27" s="30">
        <f t="shared" si="3"/>
        <v>0</v>
      </c>
      <c r="S27" s="30">
        <f t="shared" si="3"/>
        <v>0</v>
      </c>
      <c r="T27" s="30">
        <f t="shared" si="3"/>
        <v>0</v>
      </c>
      <c r="U27" s="30">
        <f t="shared" si="3"/>
        <v>0</v>
      </c>
      <c r="V27" s="35">
        <f>SUM(V8:V26)</f>
        <v>42</v>
      </c>
    </row>
    <row r="28" spans="1:22" ht="21" customHeight="1" x14ac:dyDescent="0.45"/>
    <row r="29" spans="1:22" ht="21" customHeight="1" x14ac:dyDescent="0.45"/>
    <row r="30" spans="1:22" ht="21" customHeight="1" x14ac:dyDescent="0.45"/>
    <row r="31" spans="1:22" ht="21" customHeight="1" x14ac:dyDescent="0.45"/>
    <row r="32" spans="1:22" ht="21" customHeight="1" x14ac:dyDescent="0.45"/>
    <row r="33" ht="21" customHeight="1" x14ac:dyDescent="0.45"/>
    <row r="34" ht="21" customHeight="1" x14ac:dyDescent="0.45"/>
    <row r="35" ht="21" customHeight="1" x14ac:dyDescent="0.45"/>
    <row r="36" ht="21" customHeight="1" x14ac:dyDescent="0.45"/>
    <row r="37" ht="21" customHeight="1" x14ac:dyDescent="0.45"/>
    <row r="38" ht="21" customHeight="1" x14ac:dyDescent="0.45"/>
    <row r="39" ht="21" customHeight="1" x14ac:dyDescent="0.45"/>
    <row r="40" ht="21" customHeight="1" x14ac:dyDescent="0.45"/>
    <row r="41" ht="21" customHeight="1" x14ac:dyDescent="0.45"/>
    <row r="42" ht="21" customHeight="1" x14ac:dyDescent="0.45"/>
    <row r="43" ht="21" customHeight="1" x14ac:dyDescent="0.45"/>
  </sheetData>
  <mergeCells count="26">
    <mergeCell ref="A27:D27"/>
    <mergeCell ref="A1:V1"/>
    <mergeCell ref="A2:V2"/>
    <mergeCell ref="A3:A7"/>
    <mergeCell ref="B3:C7"/>
    <mergeCell ref="D3:M3"/>
    <mergeCell ref="N3:V3"/>
    <mergeCell ref="D4:D7"/>
    <mergeCell ref="E4:E7"/>
    <mergeCell ref="F4:F7"/>
    <mergeCell ref="G4:G7"/>
    <mergeCell ref="T4:T7"/>
    <mergeCell ref="U4:U7"/>
    <mergeCell ref="V4:V7"/>
    <mergeCell ref="R4:R7"/>
    <mergeCell ref="S4:S7"/>
    <mergeCell ref="N4:N7"/>
    <mergeCell ref="O4:O7"/>
    <mergeCell ref="P4:P7"/>
    <mergeCell ref="Q4:Q7"/>
    <mergeCell ref="M4:M7"/>
    <mergeCell ref="H4:H7"/>
    <mergeCell ref="I4:I7"/>
    <mergeCell ref="J4:J7"/>
    <mergeCell ref="K4:K7"/>
    <mergeCell ref="L4:L7"/>
  </mergeCells>
  <pageMargins left="0.39370078740157483" right="0.19685039370078741" top="0.59055118110236227" bottom="0.39370078740157483" header="0.31496062992125984" footer="0.31496062992125984"/>
  <pageSetup paperSize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O47"/>
  <sheetViews>
    <sheetView tabSelected="1" topLeftCell="A22" zoomScale="90" zoomScaleNormal="90" workbookViewId="0">
      <selection activeCell="I34" sqref="I34"/>
    </sheetView>
  </sheetViews>
  <sheetFormatPr defaultColWidth="9" defaultRowHeight="21" x14ac:dyDescent="0.45"/>
  <cols>
    <col min="1" max="1" width="8.125" style="49" customWidth="1"/>
    <col min="2" max="2" width="41.125" style="49" customWidth="1"/>
    <col min="3" max="3" width="10.625" style="49" customWidth="1"/>
    <col min="4" max="4" width="5.75" style="49" customWidth="1"/>
    <col min="5" max="5" width="10.625" style="49" customWidth="1"/>
    <col min="6" max="6" width="11.875" style="49" customWidth="1"/>
    <col min="7" max="7" width="10.625" style="49" customWidth="1"/>
    <col min="8" max="8" width="9" style="49"/>
    <col min="9" max="9" width="14.875" style="49" customWidth="1"/>
    <col min="10" max="10" width="9" style="49"/>
    <col min="11" max="11" width="12" style="49" customWidth="1"/>
    <col min="12" max="16384" width="9" style="49"/>
  </cols>
  <sheetData>
    <row r="1" spans="1:7" ht="23.25" x14ac:dyDescent="0.5">
      <c r="A1" s="303" t="s">
        <v>221</v>
      </c>
      <c r="B1" s="303"/>
      <c r="C1" s="114" t="s">
        <v>222</v>
      </c>
      <c r="D1" s="303" t="s">
        <v>659</v>
      </c>
      <c r="E1" s="303"/>
      <c r="F1" s="115">
        <v>2568</v>
      </c>
      <c r="G1" s="114"/>
    </row>
    <row r="2" spans="1:7" ht="23.25" x14ac:dyDescent="0.5">
      <c r="A2" s="102" t="s">
        <v>187</v>
      </c>
      <c r="B2" s="102" t="s">
        <v>188</v>
      </c>
      <c r="C2" s="103" t="s">
        <v>189</v>
      </c>
      <c r="D2" s="102" t="s">
        <v>190</v>
      </c>
      <c r="E2" s="102" t="s">
        <v>191</v>
      </c>
      <c r="F2" s="104" t="s">
        <v>59</v>
      </c>
      <c r="G2" s="102" t="s">
        <v>192</v>
      </c>
    </row>
    <row r="3" spans="1:7" x14ac:dyDescent="0.45">
      <c r="A3" s="111" t="s">
        <v>9</v>
      </c>
      <c r="B3" s="63"/>
      <c r="C3" s="78"/>
      <c r="D3" s="78"/>
      <c r="E3" s="78"/>
      <c r="F3" s="78"/>
      <c r="G3" s="78"/>
    </row>
    <row r="4" spans="1:7" ht="20.100000000000001" customHeight="1" x14ac:dyDescent="0.45">
      <c r="A4" s="80"/>
      <c r="B4" s="63" t="s">
        <v>208</v>
      </c>
      <c r="C4" s="65"/>
      <c r="D4" s="65"/>
      <c r="E4" s="65"/>
      <c r="F4" s="66"/>
      <c r="G4" s="79"/>
    </row>
    <row r="5" spans="1:7" ht="20.100000000000001" customHeight="1" x14ac:dyDescent="0.45">
      <c r="A5" s="67" t="s">
        <v>193</v>
      </c>
      <c r="B5" s="64" t="s">
        <v>647</v>
      </c>
      <c r="C5" s="65">
        <v>200</v>
      </c>
      <c r="D5" s="65"/>
      <c r="E5" s="65"/>
      <c r="F5" s="66">
        <f t="shared" ref="F5:F17" si="0">C5-E5</f>
        <v>200</v>
      </c>
      <c r="G5" s="79"/>
    </row>
    <row r="6" spans="1:7" ht="20.100000000000001" customHeight="1" x14ac:dyDescent="0.45">
      <c r="A6" s="67" t="s">
        <v>193</v>
      </c>
      <c r="B6" s="64" t="s">
        <v>648</v>
      </c>
      <c r="C6" s="65">
        <v>30</v>
      </c>
      <c r="D6" s="65"/>
      <c r="E6" s="65"/>
      <c r="F6" s="66">
        <f t="shared" si="0"/>
        <v>30</v>
      </c>
      <c r="G6" s="79"/>
    </row>
    <row r="7" spans="1:7" ht="20.100000000000001" customHeight="1" x14ac:dyDescent="0.45">
      <c r="A7" s="67" t="s">
        <v>193</v>
      </c>
      <c r="B7" s="64" t="s">
        <v>649</v>
      </c>
      <c r="C7" s="65">
        <v>4</v>
      </c>
      <c r="D7" s="65"/>
      <c r="E7" s="65"/>
      <c r="F7" s="66">
        <f t="shared" si="0"/>
        <v>4</v>
      </c>
      <c r="G7" s="79"/>
    </row>
    <row r="8" spans="1:7" ht="20.100000000000001" customHeight="1" x14ac:dyDescent="0.45">
      <c r="A8" s="67" t="s">
        <v>193</v>
      </c>
      <c r="B8" s="64" t="s">
        <v>650</v>
      </c>
      <c r="C8" s="65">
        <v>7</v>
      </c>
      <c r="D8" s="65"/>
      <c r="E8" s="65"/>
      <c r="F8" s="66">
        <f t="shared" si="0"/>
        <v>7</v>
      </c>
      <c r="G8" s="79"/>
    </row>
    <row r="9" spans="1:7" ht="20.100000000000001" customHeight="1" x14ac:dyDescent="0.45">
      <c r="A9" s="67" t="s">
        <v>193</v>
      </c>
      <c r="B9" s="64" t="s">
        <v>651</v>
      </c>
      <c r="C9" s="65">
        <v>50</v>
      </c>
      <c r="D9" s="65"/>
      <c r="E9" s="65"/>
      <c r="F9" s="66">
        <f t="shared" si="0"/>
        <v>50</v>
      </c>
      <c r="G9" s="79"/>
    </row>
    <row r="10" spans="1:7" ht="20.100000000000001" customHeight="1" x14ac:dyDescent="0.45">
      <c r="A10" s="67" t="s">
        <v>193</v>
      </c>
      <c r="B10" s="64" t="s">
        <v>652</v>
      </c>
      <c r="C10" s="65">
        <v>5</v>
      </c>
      <c r="D10" s="105"/>
      <c r="E10" s="65"/>
      <c r="F10" s="66">
        <f t="shared" si="0"/>
        <v>5</v>
      </c>
      <c r="G10" s="79"/>
    </row>
    <row r="11" spans="1:7" ht="20.100000000000001" customHeight="1" x14ac:dyDescent="0.45">
      <c r="A11" s="67" t="s">
        <v>193</v>
      </c>
      <c r="B11" s="64" t="s">
        <v>653</v>
      </c>
      <c r="C11" s="120">
        <v>3</v>
      </c>
      <c r="D11" s="105"/>
      <c r="E11" s="65"/>
      <c r="F11" s="66">
        <f t="shared" si="0"/>
        <v>3</v>
      </c>
      <c r="G11" s="79"/>
    </row>
    <row r="12" spans="1:7" ht="20.100000000000001" customHeight="1" x14ac:dyDescent="0.45">
      <c r="A12" s="67" t="s">
        <v>193</v>
      </c>
      <c r="B12" s="64" t="s">
        <v>654</v>
      </c>
      <c r="C12" s="65">
        <v>12</v>
      </c>
      <c r="D12" s="105"/>
      <c r="E12" s="65"/>
      <c r="F12" s="66">
        <f t="shared" si="0"/>
        <v>12</v>
      </c>
      <c r="G12" s="79"/>
    </row>
    <row r="13" spans="1:7" ht="20.100000000000001" customHeight="1" x14ac:dyDescent="0.45">
      <c r="A13" s="67" t="s">
        <v>193</v>
      </c>
      <c r="B13" s="64" t="s">
        <v>213</v>
      </c>
      <c r="C13" s="141">
        <v>1</v>
      </c>
      <c r="D13" s="140"/>
      <c r="E13" s="120"/>
      <c r="F13" s="66">
        <f t="shared" si="0"/>
        <v>1</v>
      </c>
      <c r="G13" s="79"/>
    </row>
    <row r="14" spans="1:7" ht="20.100000000000001" customHeight="1" x14ac:dyDescent="0.45">
      <c r="A14" s="67" t="s">
        <v>193</v>
      </c>
      <c r="B14" s="64" t="s">
        <v>655</v>
      </c>
      <c r="C14" s="141">
        <v>40</v>
      </c>
      <c r="D14" s="106"/>
      <c r="E14" s="65"/>
      <c r="F14" s="66">
        <f t="shared" si="0"/>
        <v>40</v>
      </c>
      <c r="G14" s="79"/>
    </row>
    <row r="15" spans="1:7" ht="20.100000000000001" customHeight="1" x14ac:dyDescent="0.45">
      <c r="A15" s="67" t="s">
        <v>193</v>
      </c>
      <c r="B15" s="49" t="s">
        <v>656</v>
      </c>
      <c r="C15" s="141">
        <v>20</v>
      </c>
      <c r="D15" s="106"/>
      <c r="E15" s="65"/>
      <c r="F15" s="66">
        <f t="shared" si="0"/>
        <v>20</v>
      </c>
      <c r="G15" s="107"/>
    </row>
    <row r="16" spans="1:7" ht="20.100000000000001" customHeight="1" x14ac:dyDescent="0.45">
      <c r="A16" s="67" t="s">
        <v>193</v>
      </c>
      <c r="B16" s="64" t="s">
        <v>657</v>
      </c>
      <c r="C16" s="108">
        <v>500</v>
      </c>
      <c r="D16" s="106"/>
      <c r="E16" s="65"/>
      <c r="F16" s="66">
        <f t="shared" si="0"/>
        <v>500</v>
      </c>
      <c r="G16" s="107"/>
    </row>
    <row r="17" spans="1:8" ht="20.100000000000001" customHeight="1" x14ac:dyDescent="0.45">
      <c r="A17" s="67" t="s">
        <v>193</v>
      </c>
      <c r="B17" s="64" t="s">
        <v>658</v>
      </c>
      <c r="C17" s="108">
        <v>3</v>
      </c>
      <c r="D17" s="106"/>
      <c r="E17" s="65"/>
      <c r="F17" s="66">
        <f t="shared" si="0"/>
        <v>3</v>
      </c>
      <c r="G17" s="107"/>
    </row>
    <row r="18" spans="1:8" ht="20.100000000000001" customHeight="1" x14ac:dyDescent="0.45">
      <c r="A18" s="67"/>
      <c r="B18" s="64"/>
      <c r="C18" s="108"/>
      <c r="D18" s="106"/>
      <c r="E18" s="65"/>
      <c r="F18" s="66"/>
      <c r="G18" s="107"/>
    </row>
    <row r="19" spans="1:8" ht="20.100000000000001" customHeight="1" x14ac:dyDescent="0.45">
      <c r="A19" s="67"/>
      <c r="B19" s="78"/>
      <c r="C19" s="141"/>
      <c r="D19" s="106"/>
      <c r="E19" s="65"/>
      <c r="F19" s="66"/>
      <c r="G19" s="107"/>
    </row>
    <row r="20" spans="1:8" ht="20.100000000000001" customHeight="1" x14ac:dyDescent="0.45">
      <c r="A20" s="67"/>
      <c r="B20" s="78"/>
      <c r="C20" s="141"/>
      <c r="D20" s="106"/>
      <c r="E20" s="65"/>
      <c r="F20" s="66"/>
      <c r="G20" s="107"/>
    </row>
    <row r="21" spans="1:8" ht="20.100000000000001" customHeight="1" x14ac:dyDescent="0.45">
      <c r="A21" s="67"/>
      <c r="B21" s="78"/>
      <c r="C21" s="141"/>
      <c r="D21" s="106"/>
      <c r="E21" s="65"/>
      <c r="F21" s="66"/>
      <c r="G21" s="107"/>
    </row>
    <row r="22" spans="1:8" ht="20.100000000000001" customHeight="1" x14ac:dyDescent="0.45">
      <c r="A22" s="67"/>
      <c r="B22" s="78"/>
      <c r="C22" s="141"/>
      <c r="D22" s="106"/>
      <c r="E22" s="65"/>
      <c r="F22" s="66"/>
      <c r="G22" s="107"/>
    </row>
    <row r="23" spans="1:8" ht="20.100000000000001" customHeight="1" x14ac:dyDescent="0.45">
      <c r="A23" s="67"/>
      <c r="B23" s="78"/>
      <c r="C23" s="141"/>
      <c r="D23" s="106"/>
      <c r="E23" s="65"/>
      <c r="F23" s="66"/>
      <c r="G23" s="107"/>
    </row>
    <row r="24" spans="1:8" ht="20.100000000000001" customHeight="1" x14ac:dyDescent="0.45">
      <c r="A24" s="67"/>
      <c r="B24" s="78"/>
      <c r="C24" s="141"/>
      <c r="D24" s="106"/>
      <c r="E24" s="65"/>
      <c r="F24" s="66"/>
      <c r="G24" s="107"/>
    </row>
    <row r="25" spans="1:8" ht="20.100000000000001" customHeight="1" x14ac:dyDescent="0.45">
      <c r="A25" s="67"/>
      <c r="B25" s="78"/>
      <c r="C25" s="141"/>
      <c r="D25" s="106"/>
      <c r="E25" s="65"/>
      <c r="F25" s="66"/>
      <c r="G25" s="107"/>
    </row>
    <row r="26" spans="1:8" ht="20.100000000000001" customHeight="1" x14ac:dyDescent="0.45">
      <c r="A26" s="67"/>
      <c r="B26" s="184"/>
      <c r="C26" s="108"/>
      <c r="D26" s="106"/>
      <c r="E26" s="65"/>
      <c r="F26" s="66"/>
      <c r="G26" s="107"/>
    </row>
    <row r="27" spans="1:8" ht="20.100000000000001" customHeight="1" x14ac:dyDescent="0.45">
      <c r="A27" s="190"/>
      <c r="B27" s="191"/>
      <c r="C27" s="192"/>
      <c r="D27" s="193"/>
      <c r="E27" s="141"/>
      <c r="F27" s="194"/>
      <c r="G27" s="107"/>
    </row>
    <row r="28" spans="1:8" ht="21.75" thickBot="1" x14ac:dyDescent="0.5">
      <c r="A28" s="81"/>
      <c r="B28" s="82" t="s">
        <v>101</v>
      </c>
      <c r="C28" s="83">
        <f>SUM(C3:C26)</f>
        <v>875</v>
      </c>
      <c r="D28" s="84"/>
      <c r="E28" s="83">
        <f>SUM(E3:E14)</f>
        <v>0</v>
      </c>
      <c r="F28" s="83">
        <f>SUM(F4:F26)</f>
        <v>875</v>
      </c>
      <c r="G28" s="83"/>
    </row>
    <row r="29" spans="1:8" x14ac:dyDescent="0.45">
      <c r="A29" s="110" t="s">
        <v>10</v>
      </c>
      <c r="B29" s="85" t="s">
        <v>194</v>
      </c>
      <c r="C29" s="85"/>
      <c r="D29" s="85"/>
      <c r="E29" s="85"/>
      <c r="F29" s="86">
        <v>1</v>
      </c>
      <c r="G29" s="85" t="s">
        <v>195</v>
      </c>
    </row>
    <row r="30" spans="1:8" x14ac:dyDescent="0.45">
      <c r="A30" s="109"/>
      <c r="B30" s="78" t="s">
        <v>196</v>
      </c>
      <c r="C30" s="85"/>
      <c r="D30" s="85"/>
      <c r="E30" s="85"/>
      <c r="F30" s="116">
        <v>1</v>
      </c>
      <c r="G30" s="85" t="s">
        <v>195</v>
      </c>
    </row>
    <row r="31" spans="1:8" x14ac:dyDescent="0.45">
      <c r="A31" s="78"/>
      <c r="B31" s="64" t="s">
        <v>197</v>
      </c>
      <c r="C31" s="78"/>
      <c r="D31" s="78"/>
      <c r="E31" s="78"/>
      <c r="F31" s="87">
        <v>857</v>
      </c>
      <c r="G31" s="78" t="s">
        <v>195</v>
      </c>
    </row>
    <row r="32" spans="1:8" x14ac:dyDescent="0.45">
      <c r="A32" s="78"/>
      <c r="B32" s="64" t="s">
        <v>198</v>
      </c>
      <c r="C32" s="78"/>
      <c r="D32" s="78"/>
      <c r="E32" s="78"/>
      <c r="F32" s="217">
        <v>0</v>
      </c>
      <c r="G32" s="78" t="s">
        <v>195</v>
      </c>
      <c r="H32" s="49" t="s">
        <v>199</v>
      </c>
    </row>
    <row r="33" spans="1:15" x14ac:dyDescent="0.45">
      <c r="A33" s="89"/>
      <c r="B33" s="64" t="s">
        <v>200</v>
      </c>
      <c r="C33" s="78"/>
      <c r="D33" s="78"/>
      <c r="E33" s="78"/>
      <c r="F33" s="87">
        <v>2</v>
      </c>
      <c r="G33" s="78" t="s">
        <v>195</v>
      </c>
    </row>
    <row r="34" spans="1:15" x14ac:dyDescent="0.45">
      <c r="A34" s="89"/>
      <c r="B34" s="64" t="s">
        <v>201</v>
      </c>
      <c r="C34" s="78"/>
      <c r="D34" s="78"/>
      <c r="E34" s="78"/>
      <c r="F34" s="90">
        <v>10</v>
      </c>
      <c r="G34" s="78" t="s">
        <v>195</v>
      </c>
      <c r="O34" s="49" t="s">
        <v>355</v>
      </c>
    </row>
    <row r="35" spans="1:15" x14ac:dyDescent="0.45">
      <c r="A35" s="89"/>
      <c r="B35" s="301" t="s">
        <v>210</v>
      </c>
      <c r="C35" s="302"/>
      <c r="D35" s="78"/>
      <c r="E35" s="78"/>
      <c r="F35" s="195">
        <v>2</v>
      </c>
      <c r="G35" s="78" t="s">
        <v>195</v>
      </c>
    </row>
    <row r="36" spans="1:15" x14ac:dyDescent="0.45">
      <c r="A36" s="89"/>
      <c r="B36" s="204" t="s">
        <v>376</v>
      </c>
      <c r="C36" s="205"/>
      <c r="D36" s="78"/>
      <c r="E36" s="78"/>
      <c r="F36" s="195">
        <v>2</v>
      </c>
      <c r="G36" s="78" t="s">
        <v>195</v>
      </c>
    </row>
    <row r="37" spans="1:15" ht="21.75" thickBot="1" x14ac:dyDescent="0.5">
      <c r="A37" s="91"/>
      <c r="B37" s="92"/>
      <c r="C37" s="92"/>
      <c r="D37" s="92"/>
      <c r="E37" s="93" t="s">
        <v>102</v>
      </c>
      <c r="F37" s="94">
        <f>SUM(F29:F36)</f>
        <v>875</v>
      </c>
      <c r="G37" s="95"/>
      <c r="I37" s="68">
        <f>F28+E28-F37</f>
        <v>0</v>
      </c>
      <c r="J37" s="69" t="s">
        <v>202</v>
      </c>
      <c r="K37" s="69"/>
    </row>
    <row r="38" spans="1:15" ht="9.75" customHeight="1" thickTop="1" x14ac:dyDescent="0.45">
      <c r="I38" s="70"/>
      <c r="J38" s="70"/>
      <c r="K38" s="70"/>
    </row>
    <row r="39" spans="1:15" x14ac:dyDescent="0.45">
      <c r="B39" s="71" t="s">
        <v>203</v>
      </c>
      <c r="C39" s="49" t="s">
        <v>204</v>
      </c>
      <c r="G39" s="96">
        <f>K46</f>
        <v>853</v>
      </c>
      <c r="H39" s="97" t="s">
        <v>205</v>
      </c>
      <c r="I39" s="72" t="s">
        <v>206</v>
      </c>
      <c r="J39" s="70"/>
      <c r="K39" s="99">
        <f>ข้าราชการ!V75</f>
        <v>210</v>
      </c>
    </row>
    <row r="40" spans="1:15" x14ac:dyDescent="0.45">
      <c r="B40" s="305" t="s">
        <v>570</v>
      </c>
      <c r="C40" s="305"/>
      <c r="D40" s="49" t="s">
        <v>264</v>
      </c>
      <c r="G40" s="88">
        <v>2</v>
      </c>
      <c r="I40" s="73">
        <f>G40+G41+G42</f>
        <v>4</v>
      </c>
      <c r="J40" s="70"/>
      <c r="K40" s="77">
        <f>ลจ.ประจำ!V23</f>
        <v>10</v>
      </c>
      <c r="L40" s="73"/>
    </row>
    <row r="41" spans="1:15" x14ac:dyDescent="0.45">
      <c r="B41" s="304" t="s">
        <v>263</v>
      </c>
      <c r="C41" s="305"/>
      <c r="D41" s="49" t="s">
        <v>264</v>
      </c>
      <c r="G41" s="88">
        <v>2</v>
      </c>
      <c r="K41" s="100">
        <f>พนักงาน!V24</f>
        <v>5</v>
      </c>
      <c r="L41" s="73"/>
    </row>
    <row r="42" spans="1:15" x14ac:dyDescent="0.45">
      <c r="B42" s="300"/>
      <c r="C42" s="300"/>
      <c r="D42" s="300"/>
      <c r="E42" s="300"/>
      <c r="G42" s="88"/>
      <c r="K42" s="100">
        <f>พกส.!W43</f>
        <v>576</v>
      </c>
      <c r="L42" s="73"/>
    </row>
    <row r="43" spans="1:15" ht="21.75" thickBot="1" x14ac:dyDescent="0.5">
      <c r="C43" s="74" t="s">
        <v>207</v>
      </c>
      <c r="D43" s="75"/>
      <c r="E43" s="76"/>
      <c r="G43" s="98">
        <f>SUM(G39:G42)</f>
        <v>857</v>
      </c>
      <c r="K43" s="117">
        <f>รายเดือน!V26</f>
        <v>3</v>
      </c>
    </row>
    <row r="44" spans="1:15" ht="21.75" thickTop="1" x14ac:dyDescent="0.45">
      <c r="I44" s="49" t="s">
        <v>292</v>
      </c>
      <c r="K44" s="118">
        <f>รายวัน!V55</f>
        <v>7</v>
      </c>
    </row>
    <row r="45" spans="1:15" x14ac:dyDescent="0.45">
      <c r="K45" s="113">
        <f>ช่วย!V27</f>
        <v>42</v>
      </c>
    </row>
    <row r="46" spans="1:15" x14ac:dyDescent="0.45">
      <c r="K46" s="101">
        <f>SUM(K39:K45)</f>
        <v>853</v>
      </c>
    </row>
    <row r="47" spans="1:15" x14ac:dyDescent="0.45">
      <c r="E47" s="49" t="s">
        <v>199</v>
      </c>
    </row>
  </sheetData>
  <dataConsolidate/>
  <mergeCells count="6">
    <mergeCell ref="B42:E42"/>
    <mergeCell ref="B35:C35"/>
    <mergeCell ref="A1:B1"/>
    <mergeCell ref="D1:E1"/>
    <mergeCell ref="B41:C41"/>
    <mergeCell ref="B40:C40"/>
  </mergeCells>
  <pageMargins left="0.23622047244094491" right="0.23622047244094491" top="0.74803149606299213" bottom="0.74803149606299213" header="0.31496062992125984" footer="0.31496062992125984"/>
  <pageSetup paperSize="5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R264"/>
  <sheetViews>
    <sheetView zoomScale="80" zoomScaleNormal="80" workbookViewId="0">
      <selection activeCell="K252" sqref="K252:L252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10" width="5.625" style="145" customWidth="1"/>
    <col min="11" max="11" width="3.75" style="145" customWidth="1"/>
    <col min="12" max="12" width="21.625" style="145" customWidth="1"/>
    <col min="13" max="13" width="12.625" style="145" customWidth="1"/>
    <col min="14" max="15" width="3.625" style="145" customWidth="1"/>
    <col min="16" max="16" width="24.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313" t="s">
        <v>660</v>
      </c>
      <c r="B1" s="314"/>
      <c r="C1" s="314"/>
      <c r="D1" s="314"/>
      <c r="E1" s="314"/>
      <c r="F1" s="314"/>
      <c r="G1" s="314"/>
      <c r="H1" s="314"/>
      <c r="I1" s="315"/>
      <c r="J1" s="313" t="str">
        <f>A1</f>
        <v>โรงพยาบาลสามโคก  ประจำเดือน  พฤศจิกายน  2568</v>
      </c>
      <c r="K1" s="314"/>
      <c r="L1" s="314"/>
      <c r="M1" s="314"/>
      <c r="N1" s="314"/>
      <c r="O1" s="314"/>
      <c r="P1" s="314"/>
      <c r="Q1" s="314"/>
      <c r="R1" s="315"/>
    </row>
    <row r="2" spans="1:18" ht="17.100000000000001" customHeight="1" x14ac:dyDescent="0.2">
      <c r="A2" s="308" t="s">
        <v>604</v>
      </c>
      <c r="B2" s="307"/>
      <c r="C2" s="307"/>
      <c r="D2" s="307"/>
      <c r="E2" s="307"/>
      <c r="F2" s="307"/>
      <c r="G2" s="307"/>
      <c r="H2" s="307"/>
      <c r="I2" s="309"/>
      <c r="J2" s="308" t="s">
        <v>244</v>
      </c>
      <c r="K2" s="307"/>
      <c r="L2" s="307"/>
      <c r="M2" s="307"/>
      <c r="N2" s="307"/>
      <c r="O2" s="307"/>
      <c r="P2" s="307"/>
      <c r="Q2" s="307"/>
      <c r="R2" s="309"/>
    </row>
    <row r="3" spans="1:18" ht="17.100000000000001" customHeight="1" x14ac:dyDescent="0.2">
      <c r="A3" s="149"/>
      <c r="F3" s="150"/>
      <c r="G3" s="150"/>
      <c r="H3" s="151"/>
      <c r="I3" s="152"/>
      <c r="J3" s="149"/>
      <c r="K3" s="153"/>
      <c r="L3" s="150"/>
      <c r="M3" s="147"/>
      <c r="N3" s="147"/>
      <c r="O3" s="147"/>
      <c r="P3" s="150"/>
      <c r="Q3" s="150"/>
      <c r="R3" s="152"/>
    </row>
    <row r="4" spans="1:18" ht="17.100000000000001" customHeight="1" x14ac:dyDescent="0.2">
      <c r="A4" s="149"/>
      <c r="B4" s="307" t="s">
        <v>9</v>
      </c>
      <c r="C4" s="307"/>
      <c r="D4" s="307"/>
      <c r="E4" s="147"/>
      <c r="F4" s="147"/>
      <c r="G4" s="307" t="s">
        <v>10</v>
      </c>
      <c r="H4" s="307"/>
      <c r="I4" s="152"/>
      <c r="J4" s="149"/>
      <c r="K4" s="307" t="s">
        <v>9</v>
      </c>
      <c r="L4" s="307"/>
      <c r="M4" s="307"/>
      <c r="N4" s="147"/>
      <c r="O4" s="147"/>
      <c r="P4" s="307" t="s">
        <v>10</v>
      </c>
      <c r="Q4" s="307"/>
      <c r="R4" s="152"/>
    </row>
    <row r="5" spans="1:18" ht="17.100000000000001" customHeight="1" x14ac:dyDescent="0.2">
      <c r="A5" s="149"/>
      <c r="B5" s="306" t="s">
        <v>3</v>
      </c>
      <c r="C5" s="306"/>
      <c r="D5" s="154">
        <f>ข้าราชการ!E8</f>
        <v>0</v>
      </c>
      <c r="E5" s="154"/>
      <c r="F5" s="155"/>
      <c r="G5" s="150" t="s">
        <v>99</v>
      </c>
      <c r="H5" s="154">
        <f>ข้าราชการ!N8</f>
        <v>0</v>
      </c>
      <c r="I5" s="152"/>
      <c r="J5" s="149"/>
      <c r="K5" s="306" t="s">
        <v>3</v>
      </c>
      <c r="L5" s="306"/>
      <c r="M5" s="154">
        <f>ข้าราชการ!E20</f>
        <v>0</v>
      </c>
      <c r="N5" s="154"/>
      <c r="O5" s="155"/>
      <c r="P5" s="150" t="s">
        <v>99</v>
      </c>
      <c r="Q5" s="154">
        <f>ข้าราชการ!N20</f>
        <v>0</v>
      </c>
      <c r="R5" s="152"/>
    </row>
    <row r="6" spans="1:18" ht="17.100000000000001" customHeight="1" x14ac:dyDescent="0.2">
      <c r="A6" s="149"/>
      <c r="B6" s="306" t="s">
        <v>106</v>
      </c>
      <c r="C6" s="306"/>
      <c r="D6" s="154">
        <f>ข้าราชการ!F8</f>
        <v>0</v>
      </c>
      <c r="E6" s="154"/>
      <c r="F6" s="155"/>
      <c r="G6" s="150" t="s">
        <v>53</v>
      </c>
      <c r="H6" s="154">
        <f>ข้าราชการ!O8</f>
        <v>0</v>
      </c>
      <c r="I6" s="152"/>
      <c r="J6" s="149"/>
      <c r="K6" s="306" t="s">
        <v>106</v>
      </c>
      <c r="L6" s="306"/>
      <c r="M6" s="154">
        <f>ข้าราชการ!F20</f>
        <v>0</v>
      </c>
      <c r="N6" s="154"/>
      <c r="O6" s="155"/>
      <c r="P6" s="150" t="s">
        <v>53</v>
      </c>
      <c r="Q6" s="154">
        <f>ข้าราชการ!O20</f>
        <v>0</v>
      </c>
      <c r="R6" s="152"/>
    </row>
    <row r="7" spans="1:18" ht="17.100000000000001" customHeight="1" x14ac:dyDescent="0.2">
      <c r="A7" s="149"/>
      <c r="B7" s="306" t="s">
        <v>140</v>
      </c>
      <c r="C7" s="306"/>
      <c r="D7" s="154">
        <f>ข้าราชการ!G8</f>
        <v>200</v>
      </c>
      <c r="E7" s="154"/>
      <c r="F7" s="155"/>
      <c r="G7" s="150" t="s">
        <v>54</v>
      </c>
      <c r="H7" s="154">
        <f>ข้าราชการ!P8</f>
        <v>0</v>
      </c>
      <c r="I7" s="152"/>
      <c r="J7" s="149"/>
      <c r="K7" s="306" t="s">
        <v>665</v>
      </c>
      <c r="L7" s="306"/>
      <c r="M7" s="154">
        <f>ข้าราชการ!G20</f>
        <v>0</v>
      </c>
      <c r="N7" s="154"/>
      <c r="O7" s="155"/>
      <c r="P7" s="150" t="s">
        <v>54</v>
      </c>
      <c r="Q7" s="154">
        <f>ข้าราชการ!P20</f>
        <v>0</v>
      </c>
      <c r="R7" s="152"/>
    </row>
    <row r="8" spans="1:18" ht="17.100000000000001" customHeight="1" x14ac:dyDescent="0.2">
      <c r="A8" s="149"/>
      <c r="B8" s="306" t="s">
        <v>105</v>
      </c>
      <c r="C8" s="306"/>
      <c r="D8" s="154">
        <f>ข้าราชการ!H8</f>
        <v>0</v>
      </c>
      <c r="E8" s="154"/>
      <c r="F8" s="155"/>
      <c r="G8" s="150" t="s">
        <v>100</v>
      </c>
      <c r="H8" s="154">
        <f>ข้าราชการ!Q8</f>
        <v>0</v>
      </c>
      <c r="I8" s="152"/>
      <c r="J8" s="149"/>
      <c r="K8" s="306" t="s">
        <v>105</v>
      </c>
      <c r="L8" s="306"/>
      <c r="M8" s="154">
        <f>ข้าราชการ!H20</f>
        <v>0</v>
      </c>
      <c r="N8" s="154"/>
      <c r="O8" s="155"/>
      <c r="P8" s="150" t="s">
        <v>100</v>
      </c>
      <c r="Q8" s="154">
        <f>ข้าราชการ!Q20</f>
        <v>0</v>
      </c>
      <c r="R8" s="152"/>
    </row>
    <row r="9" spans="1:18" ht="17.100000000000001" customHeight="1" x14ac:dyDescent="0.2">
      <c r="A9" s="149"/>
      <c r="B9" s="306" t="s">
        <v>291</v>
      </c>
      <c r="C9" s="306"/>
      <c r="D9" s="154">
        <f>ข้าราชการ!I8</f>
        <v>0</v>
      </c>
      <c r="E9" s="154"/>
      <c r="F9" s="155"/>
      <c r="G9" s="150" t="s">
        <v>55</v>
      </c>
      <c r="H9" s="156">
        <f>ข้าราชการ!R8</f>
        <v>0</v>
      </c>
      <c r="I9" s="152"/>
      <c r="J9" s="149"/>
      <c r="K9" s="306" t="s">
        <v>291</v>
      </c>
      <c r="L9" s="306"/>
      <c r="M9" s="154">
        <f>ข้าราชการ!I20</f>
        <v>0</v>
      </c>
      <c r="N9" s="154"/>
      <c r="O9" s="155"/>
      <c r="P9" s="150" t="s">
        <v>55</v>
      </c>
      <c r="Q9" s="156">
        <f>ข้าราชการ!R20</f>
        <v>0</v>
      </c>
      <c r="R9" s="152"/>
    </row>
    <row r="10" spans="1:18" ht="17.100000000000001" customHeight="1" x14ac:dyDescent="0.2">
      <c r="A10" s="149"/>
      <c r="B10" s="306" t="s">
        <v>119</v>
      </c>
      <c r="C10" s="306"/>
      <c r="D10" s="154">
        <f>ข้าราชการ!J8</f>
        <v>0</v>
      </c>
      <c r="E10" s="154"/>
      <c r="F10" s="155"/>
      <c r="G10" s="153" t="s">
        <v>137</v>
      </c>
      <c r="H10" s="156">
        <f>ข้าราชการ!S8</f>
        <v>10</v>
      </c>
      <c r="I10" s="152"/>
      <c r="J10" s="149"/>
      <c r="K10" s="306" t="s">
        <v>120</v>
      </c>
      <c r="L10" s="306"/>
      <c r="M10" s="154">
        <f>ข้าราชการ!J20</f>
        <v>0</v>
      </c>
      <c r="N10" s="154"/>
      <c r="O10" s="155"/>
      <c r="P10" s="153" t="s">
        <v>137</v>
      </c>
      <c r="Q10" s="156">
        <f>ข้าราชการ!S20</f>
        <v>0</v>
      </c>
      <c r="R10" s="152"/>
    </row>
    <row r="11" spans="1:18" ht="17.100000000000001" customHeight="1" x14ac:dyDescent="0.2">
      <c r="A11" s="149"/>
      <c r="B11" s="306" t="s">
        <v>664</v>
      </c>
      <c r="C11" s="306"/>
      <c r="D11" s="154">
        <f>ข้าราชการ!K8</f>
        <v>20</v>
      </c>
      <c r="E11" s="154"/>
      <c r="F11" s="155"/>
      <c r="G11" s="150" t="s">
        <v>56</v>
      </c>
      <c r="H11" s="156">
        <f>ข้าราชการ!T8</f>
        <v>0</v>
      </c>
      <c r="I11" s="152"/>
      <c r="J11" s="149"/>
      <c r="K11" s="306" t="s">
        <v>5</v>
      </c>
      <c r="L11" s="306"/>
      <c r="M11" s="154">
        <f>ข้าราชการ!K20</f>
        <v>0</v>
      </c>
      <c r="N11" s="154"/>
      <c r="O11" s="155"/>
      <c r="P11" s="150" t="s">
        <v>56</v>
      </c>
      <c r="Q11" s="156">
        <f>ข้าราชการ!T20</f>
        <v>0</v>
      </c>
      <c r="R11" s="152"/>
    </row>
    <row r="12" spans="1:18" ht="17.100000000000001" customHeight="1" x14ac:dyDescent="0.2">
      <c r="A12" s="149"/>
      <c r="B12" s="150" t="s">
        <v>6</v>
      </c>
      <c r="C12" s="150"/>
      <c r="D12" s="154">
        <f>ข้าราชการ!L8</f>
        <v>0</v>
      </c>
      <c r="E12" s="154"/>
      <c r="F12" s="155"/>
      <c r="G12" s="150" t="s">
        <v>57</v>
      </c>
      <c r="H12" s="156">
        <f>ข้าราชการ!U8</f>
        <v>0</v>
      </c>
      <c r="I12" s="152"/>
      <c r="J12" s="149"/>
      <c r="K12" s="150" t="s">
        <v>6</v>
      </c>
      <c r="L12" s="150"/>
      <c r="M12" s="154">
        <f>ข้าราชการ!L20</f>
        <v>0</v>
      </c>
      <c r="N12" s="154"/>
      <c r="O12" s="155"/>
      <c r="P12" s="150" t="s">
        <v>57</v>
      </c>
      <c r="Q12" s="156">
        <f>ข้าราชการ!U20</f>
        <v>0</v>
      </c>
      <c r="R12" s="152"/>
    </row>
    <row r="13" spans="1:18" ht="17.100000000000001" customHeight="1" x14ac:dyDescent="0.2">
      <c r="A13" s="149"/>
      <c r="B13" s="306" t="s">
        <v>7</v>
      </c>
      <c r="C13" s="306"/>
      <c r="D13" s="154">
        <f>ข้าราชการ!M8</f>
        <v>0</v>
      </c>
      <c r="E13" s="154"/>
      <c r="F13" s="155"/>
      <c r="G13" s="150"/>
      <c r="H13" s="154"/>
      <c r="I13" s="152"/>
      <c r="J13" s="149"/>
      <c r="K13" s="306" t="s">
        <v>7</v>
      </c>
      <c r="L13" s="306"/>
      <c r="M13" s="154">
        <f>ข้าราชการ!M20</f>
        <v>0</v>
      </c>
      <c r="N13" s="154"/>
      <c r="O13" s="155"/>
      <c r="P13" s="150"/>
      <c r="Q13" s="154"/>
      <c r="R13" s="152"/>
    </row>
    <row r="14" spans="1:18" ht="17.100000000000001" customHeight="1" x14ac:dyDescent="0.2">
      <c r="A14" s="149"/>
      <c r="B14" s="307" t="s">
        <v>101</v>
      </c>
      <c r="C14" s="307"/>
      <c r="D14" s="154">
        <f>SUM(D5:D13)</f>
        <v>220</v>
      </c>
      <c r="E14" s="154"/>
      <c r="F14" s="157"/>
      <c r="G14" s="147" t="s">
        <v>102</v>
      </c>
      <c r="H14" s="157">
        <f>SUM(H5:H13)</f>
        <v>10</v>
      </c>
      <c r="I14" s="152"/>
      <c r="J14" s="149"/>
      <c r="K14" s="307" t="s">
        <v>101</v>
      </c>
      <c r="L14" s="307"/>
      <c r="M14" s="157">
        <f>SUM(M5:M13)</f>
        <v>0</v>
      </c>
      <c r="N14" s="157"/>
      <c r="O14" s="157"/>
      <c r="P14" s="147" t="s">
        <v>102</v>
      </c>
      <c r="Q14" s="157">
        <f>SUM(Q5:Q13)</f>
        <v>0</v>
      </c>
      <c r="R14" s="152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210</v>
      </c>
      <c r="F15" s="158" t="s">
        <v>104</v>
      </c>
      <c r="H15" s="150"/>
      <c r="I15" s="152"/>
      <c r="J15" s="149"/>
      <c r="K15" s="150"/>
      <c r="L15" s="147" t="s">
        <v>103</v>
      </c>
      <c r="M15" s="157">
        <f>M14-Q14</f>
        <v>0</v>
      </c>
      <c r="N15" s="157"/>
      <c r="O15" s="158" t="s">
        <v>104</v>
      </c>
      <c r="Q15" s="150"/>
      <c r="R15" s="152"/>
    </row>
    <row r="16" spans="1:18" ht="17.100000000000001" customHeight="1" x14ac:dyDescent="0.2">
      <c r="A16" s="149"/>
      <c r="B16" s="150"/>
      <c r="C16" s="307" t="str">
        <f>"("&amp;BAHTTEXT(D15)&amp;")"</f>
        <v>(สองร้อยสิบบาทถ้วน)</v>
      </c>
      <c r="D16" s="307"/>
      <c r="E16" s="307"/>
      <c r="F16" s="307"/>
      <c r="G16" s="307"/>
      <c r="H16" s="150"/>
      <c r="I16" s="152"/>
      <c r="J16" s="149"/>
      <c r="K16" s="150"/>
      <c r="L16" s="307" t="str">
        <f>"("&amp;BAHTTEXT(M15)&amp;")"</f>
        <v>(ศูนย์บาทถ้วน)</v>
      </c>
      <c r="M16" s="307"/>
      <c r="N16" s="307"/>
      <c r="O16" s="307"/>
      <c r="P16" s="307"/>
      <c r="Q16" s="150"/>
      <c r="R16" s="152"/>
    </row>
    <row r="17" spans="1:18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  <c r="J17" s="149"/>
      <c r="K17" s="150"/>
      <c r="L17" s="147"/>
      <c r="M17" s="147"/>
      <c r="N17" s="147"/>
      <c r="O17" s="147"/>
      <c r="P17" s="147"/>
      <c r="Q17" s="150"/>
      <c r="R17" s="152"/>
    </row>
    <row r="18" spans="1:18" ht="17.100000000000001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2"/>
      <c r="J18" s="149"/>
      <c r="K18" s="150"/>
      <c r="L18" s="150"/>
      <c r="M18" s="150"/>
      <c r="N18" s="150"/>
      <c r="O18" s="150"/>
      <c r="P18" s="150"/>
      <c r="Q18" s="150"/>
      <c r="R18" s="152"/>
    </row>
    <row r="19" spans="1:18" ht="17.100000000000001" customHeight="1" x14ac:dyDescent="0.2">
      <c r="A19" s="149"/>
      <c r="I19" s="152"/>
      <c r="J19" s="149"/>
      <c r="R19" s="152"/>
    </row>
    <row r="20" spans="1:18" ht="17.100000000000001" customHeight="1" x14ac:dyDescent="0.2">
      <c r="A20" s="149"/>
      <c r="I20" s="152"/>
      <c r="J20" s="149"/>
      <c r="R20" s="152"/>
    </row>
    <row r="21" spans="1:18" ht="17.100000000000001" customHeight="1" x14ac:dyDescent="0.2">
      <c r="A21" s="308" t="s">
        <v>315</v>
      </c>
      <c r="B21" s="307"/>
      <c r="C21" s="307"/>
      <c r="D21" s="307"/>
      <c r="E21" s="307"/>
      <c r="F21" s="307"/>
      <c r="G21" s="307"/>
      <c r="H21" s="307"/>
      <c r="I21" s="309"/>
      <c r="J21" s="308" t="s">
        <v>315</v>
      </c>
      <c r="K21" s="307"/>
      <c r="L21" s="307"/>
      <c r="M21" s="307"/>
      <c r="N21" s="307"/>
      <c r="O21" s="307"/>
      <c r="P21" s="307"/>
      <c r="Q21" s="307"/>
      <c r="R21" s="309"/>
    </row>
    <row r="22" spans="1:18" ht="17.100000000000001" customHeight="1" x14ac:dyDescent="0.2">
      <c r="A22" s="310" t="s">
        <v>298</v>
      </c>
      <c r="B22" s="311"/>
      <c r="C22" s="311"/>
      <c r="D22" s="311"/>
      <c r="E22" s="311"/>
      <c r="F22" s="311"/>
      <c r="G22" s="311"/>
      <c r="H22" s="311"/>
      <c r="I22" s="312"/>
      <c r="J22" s="159"/>
      <c r="K22" s="311" t="s">
        <v>298</v>
      </c>
      <c r="L22" s="311"/>
      <c r="M22" s="311"/>
      <c r="N22" s="311"/>
      <c r="O22" s="311"/>
      <c r="P22" s="311"/>
      <c r="Q22" s="311"/>
      <c r="R22" s="160"/>
    </row>
    <row r="23" spans="1:18" ht="17.100000000000001" customHeight="1" x14ac:dyDescent="0.2">
      <c r="A23" s="313" t="str">
        <f>A1</f>
        <v>โรงพยาบาลสามโคก  ประจำเดือน  พฤศจิกายน  2568</v>
      </c>
      <c r="B23" s="314"/>
      <c r="C23" s="314"/>
      <c r="D23" s="314"/>
      <c r="E23" s="314"/>
      <c r="F23" s="314"/>
      <c r="G23" s="314"/>
      <c r="H23" s="314"/>
      <c r="I23" s="315"/>
      <c r="J23" s="313" t="str">
        <f>A1</f>
        <v>โรงพยาบาลสามโคก  ประจำเดือน  พฤศจิกายน  2568</v>
      </c>
      <c r="K23" s="314"/>
      <c r="L23" s="314"/>
      <c r="M23" s="314"/>
      <c r="N23" s="314"/>
      <c r="O23" s="314"/>
      <c r="P23" s="314"/>
      <c r="Q23" s="314"/>
      <c r="R23" s="315"/>
    </row>
    <row r="24" spans="1:18" ht="17.100000000000001" customHeight="1" x14ac:dyDescent="0.2">
      <c r="A24" s="308" t="s">
        <v>239</v>
      </c>
      <c r="B24" s="307"/>
      <c r="C24" s="307"/>
      <c r="D24" s="307"/>
      <c r="E24" s="307"/>
      <c r="F24" s="307"/>
      <c r="G24" s="307"/>
      <c r="H24" s="307"/>
      <c r="I24" s="309"/>
      <c r="J24" s="308" t="s">
        <v>350</v>
      </c>
      <c r="K24" s="307"/>
      <c r="L24" s="307"/>
      <c r="M24" s="307"/>
      <c r="N24" s="307"/>
      <c r="O24" s="307"/>
      <c r="P24" s="307"/>
      <c r="Q24" s="307"/>
      <c r="R24" s="309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307" t="s">
        <v>9</v>
      </c>
      <c r="C26" s="307"/>
      <c r="D26" s="307"/>
      <c r="E26" s="147"/>
      <c r="F26" s="147"/>
      <c r="G26" s="307" t="s">
        <v>10</v>
      </c>
      <c r="H26" s="307"/>
      <c r="I26" s="152"/>
      <c r="J26" s="149"/>
      <c r="K26" s="307" t="s">
        <v>9</v>
      </c>
      <c r="L26" s="307"/>
      <c r="M26" s="307"/>
      <c r="N26" s="147"/>
      <c r="O26" s="147"/>
      <c r="P26" s="307" t="s">
        <v>10</v>
      </c>
      <c r="Q26" s="307"/>
      <c r="R26" s="152"/>
    </row>
    <row r="27" spans="1:18" ht="17.100000000000001" customHeight="1" x14ac:dyDescent="0.2">
      <c r="A27" s="149"/>
      <c r="B27" s="306" t="s">
        <v>3</v>
      </c>
      <c r="C27" s="306"/>
      <c r="D27" s="154">
        <v>0</v>
      </c>
      <c r="E27" s="154"/>
      <c r="F27" s="155"/>
      <c r="G27" s="150" t="s">
        <v>99</v>
      </c>
      <c r="H27" s="154">
        <f>ข้าราชการ!E43</f>
        <v>0</v>
      </c>
      <c r="I27" s="152"/>
      <c r="J27" s="149"/>
      <c r="K27" s="306" t="s">
        <v>3</v>
      </c>
      <c r="L27" s="306"/>
      <c r="M27" s="154">
        <f>ข้าราชการ!E21</f>
        <v>0</v>
      </c>
      <c r="N27" s="154"/>
      <c r="O27" s="155"/>
      <c r="P27" s="150" t="s">
        <v>99</v>
      </c>
      <c r="Q27" s="154">
        <f>ข้าราชการ!N21</f>
        <v>0</v>
      </c>
      <c r="R27" s="152"/>
    </row>
    <row r="28" spans="1:18" ht="17.100000000000001" customHeight="1" x14ac:dyDescent="0.2">
      <c r="A28" s="149"/>
      <c r="B28" s="306" t="s">
        <v>106</v>
      </c>
      <c r="C28" s="306"/>
      <c r="D28" s="154">
        <v>0</v>
      </c>
      <c r="E28" s="154"/>
      <c r="F28" s="155"/>
      <c r="G28" s="150" t="s">
        <v>53</v>
      </c>
      <c r="H28" s="154">
        <f>ข้าราชการ!F43</f>
        <v>0</v>
      </c>
      <c r="I28" s="152"/>
      <c r="J28" s="149"/>
      <c r="K28" s="306" t="s">
        <v>106</v>
      </c>
      <c r="L28" s="306"/>
      <c r="M28" s="154">
        <f>ข้าราชการ!F21</f>
        <v>0</v>
      </c>
      <c r="N28" s="154"/>
      <c r="O28" s="155"/>
      <c r="P28" s="150" t="s">
        <v>53</v>
      </c>
      <c r="Q28" s="154">
        <f>ข้าราชการ!O21</f>
        <v>0</v>
      </c>
      <c r="R28" s="152"/>
    </row>
    <row r="29" spans="1:18" ht="17.100000000000001" customHeight="1" x14ac:dyDescent="0.2">
      <c r="A29" s="149"/>
      <c r="B29" s="306" t="s">
        <v>107</v>
      </c>
      <c r="C29" s="306"/>
      <c r="D29" s="154">
        <v>0</v>
      </c>
      <c r="E29" s="154"/>
      <c r="F29" s="155"/>
      <c r="G29" s="150" t="s">
        <v>54</v>
      </c>
      <c r="H29" s="154">
        <v>0</v>
      </c>
      <c r="I29" s="152"/>
      <c r="J29" s="149"/>
      <c r="K29" s="306" t="s">
        <v>140</v>
      </c>
      <c r="L29" s="306"/>
      <c r="M29" s="154">
        <f>ข้าราชการ!G21</f>
        <v>0</v>
      </c>
      <c r="N29" s="154"/>
      <c r="O29" s="155"/>
      <c r="P29" s="150" t="s">
        <v>54</v>
      </c>
      <c r="Q29" s="154">
        <f>ข้าราชการ!P21</f>
        <v>0</v>
      </c>
      <c r="R29" s="152"/>
    </row>
    <row r="30" spans="1:18" ht="17.100000000000001" customHeight="1" x14ac:dyDescent="0.2">
      <c r="A30" s="149"/>
      <c r="B30" s="306" t="s">
        <v>105</v>
      </c>
      <c r="C30" s="306"/>
      <c r="D30" s="154">
        <f>ข้าราชการ!H9</f>
        <v>0</v>
      </c>
      <c r="E30" s="154"/>
      <c r="F30" s="155"/>
      <c r="G30" s="150" t="s">
        <v>100</v>
      </c>
      <c r="H30" s="154">
        <f>ข้าราชการ!Q9</f>
        <v>0</v>
      </c>
      <c r="I30" s="152"/>
      <c r="J30" s="149"/>
      <c r="K30" s="306" t="s">
        <v>105</v>
      </c>
      <c r="L30" s="306"/>
      <c r="M30" s="154">
        <f>ข้าราชการ!H21</f>
        <v>0</v>
      </c>
      <c r="N30" s="154"/>
      <c r="O30" s="155"/>
      <c r="P30" s="150" t="s">
        <v>100</v>
      </c>
      <c r="Q30" s="154">
        <f>ข้าราชการ!Q21</f>
        <v>0</v>
      </c>
      <c r="R30" s="152"/>
    </row>
    <row r="31" spans="1:18" ht="17.100000000000001" customHeight="1" x14ac:dyDescent="0.2">
      <c r="A31" s="149"/>
      <c r="B31" s="306" t="s">
        <v>291</v>
      </c>
      <c r="C31" s="306"/>
      <c r="D31" s="154">
        <f>ข้าราชการ!I9</f>
        <v>0</v>
      </c>
      <c r="E31" s="154"/>
      <c r="F31" s="155"/>
      <c r="G31" s="150" t="s">
        <v>55</v>
      </c>
      <c r="H31" s="156">
        <v>0</v>
      </c>
      <c r="I31" s="152"/>
      <c r="J31" s="149"/>
      <c r="K31" s="306" t="s">
        <v>291</v>
      </c>
      <c r="L31" s="306"/>
      <c r="M31" s="154">
        <f>ข้าราชการ!I21</f>
        <v>0</v>
      </c>
      <c r="N31" s="154"/>
      <c r="O31" s="155"/>
      <c r="P31" s="150" t="s">
        <v>55</v>
      </c>
      <c r="Q31" s="156">
        <f>ข้าราชการ!R21</f>
        <v>0</v>
      </c>
      <c r="R31" s="152"/>
    </row>
    <row r="32" spans="1:18" ht="17.100000000000001" customHeight="1" x14ac:dyDescent="0.2">
      <c r="A32" s="149"/>
      <c r="B32" s="306" t="s">
        <v>662</v>
      </c>
      <c r="C32" s="306"/>
      <c r="D32" s="154">
        <f>ข้าราชการ!J9</f>
        <v>0</v>
      </c>
      <c r="E32" s="154"/>
      <c r="F32" s="155"/>
      <c r="G32" s="153" t="s">
        <v>137</v>
      </c>
      <c r="H32" s="156">
        <v>0</v>
      </c>
      <c r="I32" s="152"/>
      <c r="J32" s="149"/>
      <c r="K32" s="306" t="s">
        <v>662</v>
      </c>
      <c r="L32" s="306"/>
      <c r="M32" s="154">
        <f>ข้าราชการ!J21</f>
        <v>0</v>
      </c>
      <c r="N32" s="154"/>
      <c r="O32" s="155"/>
      <c r="P32" s="153" t="s">
        <v>137</v>
      </c>
      <c r="Q32" s="156">
        <f>ข้าราชการ!S21</f>
        <v>0</v>
      </c>
      <c r="R32" s="152"/>
    </row>
    <row r="33" spans="1:18" ht="17.100000000000001" customHeight="1" x14ac:dyDescent="0.2">
      <c r="A33" s="149"/>
      <c r="B33" s="306" t="s">
        <v>5</v>
      </c>
      <c r="C33" s="306"/>
      <c r="D33" s="154">
        <f>ข้าราชการ!K9</f>
        <v>0</v>
      </c>
      <c r="E33" s="154"/>
      <c r="F33" s="155"/>
      <c r="G33" s="150" t="s">
        <v>56</v>
      </c>
      <c r="H33" s="156">
        <f>ข้าราชการ!T9</f>
        <v>0</v>
      </c>
      <c r="I33" s="152"/>
      <c r="J33" s="149"/>
      <c r="K33" s="306" t="s">
        <v>5</v>
      </c>
      <c r="L33" s="306"/>
      <c r="M33" s="154">
        <f>ข้าราชการ!K21</f>
        <v>0</v>
      </c>
      <c r="N33" s="154"/>
      <c r="O33" s="155"/>
      <c r="P33" s="150" t="s">
        <v>56</v>
      </c>
      <c r="Q33" s="156">
        <f>ข้าราชการ!T21</f>
        <v>0</v>
      </c>
      <c r="R33" s="152"/>
    </row>
    <row r="34" spans="1:18" ht="17.100000000000001" customHeight="1" x14ac:dyDescent="0.2">
      <c r="A34" s="149"/>
      <c r="B34" s="150" t="s">
        <v>6</v>
      </c>
      <c r="C34" s="150"/>
      <c r="D34" s="154">
        <f>ข้าราชการ!L9</f>
        <v>0</v>
      </c>
      <c r="E34" s="154"/>
      <c r="F34" s="155"/>
      <c r="G34" s="150" t="s">
        <v>57</v>
      </c>
      <c r="H34" s="156">
        <f>ข้าราชการ!U9</f>
        <v>0</v>
      </c>
      <c r="I34" s="152"/>
      <c r="J34" s="149"/>
      <c r="K34" s="150" t="s">
        <v>6</v>
      </c>
      <c r="L34" s="150"/>
      <c r="M34" s="154">
        <f>ข้าราชการ!L21</f>
        <v>0</v>
      </c>
      <c r="N34" s="154"/>
      <c r="O34" s="155"/>
      <c r="P34" s="150" t="s">
        <v>57</v>
      </c>
      <c r="Q34" s="156">
        <f>ข้าราชการ!U21</f>
        <v>0</v>
      </c>
      <c r="R34" s="152"/>
    </row>
    <row r="35" spans="1:18" ht="17.100000000000001" customHeight="1" x14ac:dyDescent="0.2">
      <c r="A35" s="149"/>
      <c r="B35" s="306" t="s">
        <v>7</v>
      </c>
      <c r="C35" s="306"/>
      <c r="D35" s="154">
        <f>ข้าราชการ!D43</f>
        <v>0</v>
      </c>
      <c r="E35" s="154"/>
      <c r="F35" s="155"/>
      <c r="G35" s="150"/>
      <c r="H35" s="154"/>
      <c r="I35" s="152"/>
      <c r="J35" s="149"/>
      <c r="K35" s="306" t="s">
        <v>7</v>
      </c>
      <c r="L35" s="306"/>
      <c r="M35" s="154">
        <f>ข้าราชการ!M21</f>
        <v>0</v>
      </c>
      <c r="N35" s="154"/>
      <c r="O35" s="155"/>
      <c r="P35" s="150"/>
      <c r="Q35" s="154"/>
      <c r="R35" s="152"/>
    </row>
    <row r="36" spans="1:18" ht="17.100000000000001" customHeight="1" x14ac:dyDescent="0.2">
      <c r="A36" s="149"/>
      <c r="B36" s="307" t="s">
        <v>101</v>
      </c>
      <c r="C36" s="307"/>
      <c r="D36" s="157">
        <f>SUM(D27:D35)</f>
        <v>0</v>
      </c>
      <c r="E36" s="157"/>
      <c r="F36" s="157"/>
      <c r="G36" s="147" t="s">
        <v>102</v>
      </c>
      <c r="H36" s="157">
        <f>SUM(H27:H35)</f>
        <v>0</v>
      </c>
      <c r="I36" s="152"/>
      <c r="J36" s="149"/>
      <c r="K36" s="307" t="s">
        <v>101</v>
      </c>
      <c r="L36" s="307"/>
      <c r="M36" s="154">
        <f>SUM(M27:M35)</f>
        <v>0</v>
      </c>
      <c r="N36" s="157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B38" s="150"/>
      <c r="C38" s="307" t="str">
        <f>"("&amp;BAHTTEXT(D37)&amp;")"</f>
        <v>(ศูนย์บาทถ้วน)</v>
      </c>
      <c r="D38" s="307"/>
      <c r="E38" s="307"/>
      <c r="F38" s="307"/>
      <c r="G38" s="307"/>
      <c r="H38" s="150"/>
      <c r="I38" s="152"/>
      <c r="J38" s="149"/>
      <c r="K38" s="150"/>
      <c r="L38" s="307" t="str">
        <f>"("&amp;BAHTTEXT(M37)&amp;")"</f>
        <v>(ศูนย์บาทถ้วน)</v>
      </c>
      <c r="M38" s="307"/>
      <c r="N38" s="307"/>
      <c r="O38" s="307"/>
      <c r="P38" s="307"/>
      <c r="Q38" s="150"/>
      <c r="R38" s="152"/>
    </row>
    <row r="39" spans="1:18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  <c r="J39" s="149"/>
      <c r="K39" s="150"/>
      <c r="L39" s="147"/>
      <c r="M39" s="147"/>
      <c r="N39" s="147"/>
      <c r="O39" s="147"/>
      <c r="P39" s="147"/>
      <c r="Q39" s="150"/>
      <c r="R39" s="152"/>
    </row>
    <row r="40" spans="1:18" ht="17.100000000000001" customHeight="1" x14ac:dyDescent="0.2">
      <c r="A40" s="149"/>
      <c r="B40" s="150"/>
      <c r="C40" s="150"/>
      <c r="D40" s="150"/>
      <c r="E40" s="150"/>
      <c r="F40" s="150"/>
      <c r="G40" s="150"/>
      <c r="H40" s="150"/>
      <c r="I40" s="152"/>
      <c r="J40" s="149"/>
      <c r="K40" s="150"/>
      <c r="L40" s="150"/>
      <c r="M40" s="150"/>
      <c r="N40" s="150"/>
      <c r="O40" s="150"/>
      <c r="P40" s="150"/>
      <c r="Q40" s="150"/>
      <c r="R40" s="152"/>
    </row>
    <row r="41" spans="1:18" ht="17.100000000000001" customHeight="1" x14ac:dyDescent="0.2">
      <c r="A41" s="149"/>
      <c r="I41" s="152"/>
      <c r="J41" s="149"/>
      <c r="R41" s="152"/>
    </row>
    <row r="42" spans="1:18" ht="17.100000000000001" customHeight="1" x14ac:dyDescent="0.2">
      <c r="A42" s="149"/>
      <c r="I42" s="152"/>
      <c r="J42" s="146"/>
      <c r="R42" s="152"/>
    </row>
    <row r="43" spans="1:18" ht="17.100000000000001" customHeight="1" x14ac:dyDescent="0.2">
      <c r="A43" s="308" t="s">
        <v>315</v>
      </c>
      <c r="B43" s="307"/>
      <c r="C43" s="307"/>
      <c r="D43" s="307"/>
      <c r="E43" s="307"/>
      <c r="F43" s="307"/>
      <c r="G43" s="307"/>
      <c r="H43" s="307"/>
      <c r="I43" s="309"/>
      <c r="J43" s="146"/>
      <c r="K43" s="307" t="s">
        <v>315</v>
      </c>
      <c r="L43" s="307"/>
      <c r="M43" s="307"/>
      <c r="N43" s="307"/>
      <c r="O43" s="307"/>
      <c r="P43" s="307"/>
      <c r="Q43" s="307"/>
      <c r="R43" s="152"/>
    </row>
    <row r="44" spans="1:18" ht="17.100000000000001" customHeight="1" x14ac:dyDescent="0.2">
      <c r="A44" s="310" t="s">
        <v>298</v>
      </c>
      <c r="B44" s="311"/>
      <c r="C44" s="311"/>
      <c r="D44" s="311"/>
      <c r="E44" s="311"/>
      <c r="F44" s="311"/>
      <c r="G44" s="311"/>
      <c r="H44" s="311"/>
      <c r="I44" s="312"/>
      <c r="J44" s="161"/>
      <c r="K44" s="311" t="s">
        <v>298</v>
      </c>
      <c r="L44" s="311"/>
      <c r="M44" s="311"/>
      <c r="N44" s="311"/>
      <c r="O44" s="311"/>
      <c r="P44" s="311"/>
      <c r="Q44" s="311"/>
      <c r="R44" s="162"/>
    </row>
    <row r="45" spans="1:18" ht="17.100000000000001" customHeight="1" x14ac:dyDescent="0.2">
      <c r="A45" s="313" t="str">
        <f>A1</f>
        <v>โรงพยาบาลสามโคก  ประจำเดือน  พฤศจิกายน  2568</v>
      </c>
      <c r="B45" s="314"/>
      <c r="C45" s="314"/>
      <c r="D45" s="314"/>
      <c r="E45" s="314"/>
      <c r="F45" s="314"/>
      <c r="G45" s="314"/>
      <c r="H45" s="314"/>
      <c r="I45" s="315"/>
      <c r="J45" s="313" t="str">
        <f>A1</f>
        <v>โรงพยาบาลสามโคก  ประจำเดือน  พฤศจิกายน  2568</v>
      </c>
      <c r="K45" s="314"/>
      <c r="L45" s="314"/>
      <c r="M45" s="314"/>
      <c r="N45" s="314"/>
      <c r="O45" s="314"/>
      <c r="P45" s="314"/>
      <c r="Q45" s="314"/>
      <c r="R45" s="315"/>
    </row>
    <row r="46" spans="1:18" ht="17.100000000000001" customHeight="1" x14ac:dyDescent="0.2">
      <c r="A46" s="308" t="s">
        <v>322</v>
      </c>
      <c r="B46" s="307"/>
      <c r="C46" s="307"/>
      <c r="D46" s="307"/>
      <c r="E46" s="307"/>
      <c r="F46" s="307"/>
      <c r="G46" s="307"/>
      <c r="H46" s="307"/>
      <c r="I46" s="309"/>
      <c r="J46" s="308" t="s">
        <v>370</v>
      </c>
      <c r="K46" s="307"/>
      <c r="L46" s="307"/>
      <c r="M46" s="307"/>
      <c r="N46" s="307"/>
      <c r="O46" s="307"/>
      <c r="P46" s="307"/>
      <c r="Q46" s="307"/>
      <c r="R46" s="309"/>
    </row>
    <row r="47" spans="1:18" ht="17.100000000000001" customHeight="1" x14ac:dyDescent="0.2">
      <c r="A47" s="149"/>
      <c r="F47" s="150"/>
      <c r="G47" s="150"/>
      <c r="H47" s="151"/>
      <c r="I47" s="152"/>
      <c r="J47" s="149"/>
      <c r="K47" s="153"/>
      <c r="L47" s="150"/>
      <c r="M47" s="147"/>
      <c r="N47" s="147"/>
      <c r="O47" s="147"/>
      <c r="P47" s="150"/>
      <c r="Q47" s="150"/>
      <c r="R47" s="152"/>
    </row>
    <row r="48" spans="1:18" ht="17.100000000000001" customHeight="1" x14ac:dyDescent="0.2">
      <c r="A48" s="149"/>
      <c r="B48" s="307" t="s">
        <v>9</v>
      </c>
      <c r="C48" s="307"/>
      <c r="D48" s="307"/>
      <c r="E48" s="147"/>
      <c r="F48" s="147"/>
      <c r="G48" s="307" t="s">
        <v>10</v>
      </c>
      <c r="H48" s="307"/>
      <c r="I48" s="152"/>
      <c r="J48" s="149"/>
      <c r="K48" s="307" t="s">
        <v>9</v>
      </c>
      <c r="L48" s="307"/>
      <c r="M48" s="307"/>
      <c r="N48" s="147"/>
      <c r="O48" s="147"/>
      <c r="P48" s="307" t="s">
        <v>10</v>
      </c>
      <c r="Q48" s="307"/>
      <c r="R48" s="152"/>
    </row>
    <row r="49" spans="1:18" ht="17.100000000000001" customHeight="1" x14ac:dyDescent="0.2">
      <c r="A49" s="149"/>
      <c r="B49" s="306" t="s">
        <v>3</v>
      </c>
      <c r="C49" s="306"/>
      <c r="D49" s="154">
        <v>0</v>
      </c>
      <c r="E49" s="154"/>
      <c r="F49" s="155"/>
      <c r="G49" s="150" t="s">
        <v>99</v>
      </c>
      <c r="H49" s="154">
        <v>0</v>
      </c>
      <c r="I49" s="152"/>
      <c r="J49" s="149"/>
      <c r="K49" s="306" t="s">
        <v>3</v>
      </c>
      <c r="L49" s="306"/>
      <c r="M49" s="154">
        <f>ข้าราชการ!E22</f>
        <v>0</v>
      </c>
      <c r="N49" s="154"/>
      <c r="O49" s="155"/>
      <c r="P49" s="150" t="s">
        <v>99</v>
      </c>
      <c r="Q49" s="154">
        <f>ข้าราชการ!N22</f>
        <v>0</v>
      </c>
      <c r="R49" s="152"/>
    </row>
    <row r="50" spans="1:18" ht="17.100000000000001" customHeight="1" x14ac:dyDescent="0.2">
      <c r="A50" s="149"/>
      <c r="B50" s="306" t="s">
        <v>106</v>
      </c>
      <c r="C50" s="306"/>
      <c r="D50" s="154">
        <f>ข้าราชการ!F10</f>
        <v>0</v>
      </c>
      <c r="E50" s="154"/>
      <c r="F50" s="155"/>
      <c r="G50" s="150" t="s">
        <v>53</v>
      </c>
      <c r="H50" s="154">
        <v>0</v>
      </c>
      <c r="I50" s="152"/>
      <c r="J50" s="149"/>
      <c r="K50" s="306" t="s">
        <v>106</v>
      </c>
      <c r="L50" s="306"/>
      <c r="M50" s="154">
        <f>ข้าราชการ!F22</f>
        <v>0</v>
      </c>
      <c r="N50" s="154"/>
      <c r="O50" s="155"/>
      <c r="P50" s="150" t="s">
        <v>53</v>
      </c>
      <c r="Q50" s="154">
        <f>ข้าราชการ!O22</f>
        <v>0</v>
      </c>
      <c r="R50" s="152"/>
    </row>
    <row r="51" spans="1:18" ht="17.100000000000001" customHeight="1" x14ac:dyDescent="0.2">
      <c r="A51" s="149"/>
      <c r="B51" s="306" t="s">
        <v>140</v>
      </c>
      <c r="C51" s="306"/>
      <c r="D51" s="154">
        <f>ข้าราชการ!G10</f>
        <v>0</v>
      </c>
      <c r="E51" s="154"/>
      <c r="F51" s="155"/>
      <c r="G51" s="150" t="s">
        <v>54</v>
      </c>
      <c r="H51" s="154">
        <v>0</v>
      </c>
      <c r="I51" s="152"/>
      <c r="J51" s="149"/>
      <c r="K51" s="306" t="s">
        <v>107</v>
      </c>
      <c r="L51" s="306"/>
      <c r="M51" s="154">
        <f>ข้าราชการ!G22</f>
        <v>0</v>
      </c>
      <c r="N51" s="154"/>
      <c r="O51" s="155"/>
      <c r="P51" s="150" t="s">
        <v>54</v>
      </c>
      <c r="Q51" s="154">
        <f>ข้าราชการ!P22</f>
        <v>0</v>
      </c>
      <c r="R51" s="152"/>
    </row>
    <row r="52" spans="1:18" ht="17.100000000000001" customHeight="1" x14ac:dyDescent="0.2">
      <c r="A52" s="149"/>
      <c r="B52" s="306" t="s">
        <v>130</v>
      </c>
      <c r="C52" s="306"/>
      <c r="D52" s="154">
        <f>ข้าราชการ!H10</f>
        <v>0</v>
      </c>
      <c r="E52" s="154"/>
      <c r="F52" s="155"/>
      <c r="G52" s="150" t="s">
        <v>100</v>
      </c>
      <c r="H52" s="154">
        <v>0</v>
      </c>
      <c r="I52" s="152"/>
      <c r="J52" s="149"/>
      <c r="K52" s="306" t="s">
        <v>105</v>
      </c>
      <c r="L52" s="306"/>
      <c r="M52" s="154">
        <f>ข้าราชการ!H22</f>
        <v>0</v>
      </c>
      <c r="N52" s="154"/>
      <c r="O52" s="155"/>
      <c r="P52" s="150" t="s">
        <v>100</v>
      </c>
      <c r="Q52" s="154">
        <f>ข้าราชการ!Q22</f>
        <v>0</v>
      </c>
      <c r="R52" s="152"/>
    </row>
    <row r="53" spans="1:18" ht="17.100000000000001" customHeight="1" x14ac:dyDescent="0.2">
      <c r="A53" s="149"/>
      <c r="B53" s="306" t="s">
        <v>661</v>
      </c>
      <c r="C53" s="306"/>
      <c r="D53" s="154">
        <f>ข้าราชการ!I10</f>
        <v>0</v>
      </c>
      <c r="E53" s="154"/>
      <c r="F53" s="155"/>
      <c r="G53" s="150" t="s">
        <v>55</v>
      </c>
      <c r="H53" s="156">
        <f>ข้าราชการ!R10</f>
        <v>0</v>
      </c>
      <c r="I53" s="152"/>
      <c r="J53" s="149"/>
      <c r="K53" s="306" t="s">
        <v>291</v>
      </c>
      <c r="L53" s="306"/>
      <c r="M53" s="154">
        <f>ข้าราชการ!I22</f>
        <v>0</v>
      </c>
      <c r="N53" s="154"/>
      <c r="O53" s="155"/>
      <c r="P53" s="150" t="s">
        <v>55</v>
      </c>
      <c r="Q53" s="156">
        <f>ข้าราชการ!R22</f>
        <v>0</v>
      </c>
      <c r="R53" s="152"/>
    </row>
    <row r="54" spans="1:18" ht="17.100000000000001" customHeight="1" x14ac:dyDescent="0.2">
      <c r="A54" s="149"/>
      <c r="B54" s="306" t="s">
        <v>119</v>
      </c>
      <c r="C54" s="306"/>
      <c r="D54" s="154">
        <f>ข้าราชการ!J10</f>
        <v>0</v>
      </c>
      <c r="E54" s="154"/>
      <c r="F54" s="155"/>
      <c r="G54" s="153" t="s">
        <v>137</v>
      </c>
      <c r="H54" s="156">
        <f>ข้าราชการ!S10</f>
        <v>0</v>
      </c>
      <c r="I54" s="152"/>
      <c r="J54" s="149"/>
      <c r="K54" s="306" t="s">
        <v>662</v>
      </c>
      <c r="L54" s="306"/>
      <c r="M54" s="154">
        <f>ข้าราชการ!J22</f>
        <v>0</v>
      </c>
      <c r="N54" s="154"/>
      <c r="O54" s="155"/>
      <c r="P54" s="153" t="s">
        <v>137</v>
      </c>
      <c r="Q54" s="156">
        <f>ข้าราชการ!S22</f>
        <v>0</v>
      </c>
      <c r="R54" s="152"/>
    </row>
    <row r="55" spans="1:18" ht="17.100000000000001" customHeight="1" x14ac:dyDescent="0.2">
      <c r="A55" s="149"/>
      <c r="B55" s="306" t="s">
        <v>136</v>
      </c>
      <c r="C55" s="306"/>
      <c r="D55" s="154">
        <v>0</v>
      </c>
      <c r="E55" s="154"/>
      <c r="F55" s="155"/>
      <c r="G55" s="150" t="s">
        <v>56</v>
      </c>
      <c r="H55" s="156">
        <v>0</v>
      </c>
      <c r="I55" s="152"/>
      <c r="J55" s="149"/>
      <c r="K55" s="306" t="s">
        <v>5</v>
      </c>
      <c r="L55" s="306"/>
      <c r="M55" s="154">
        <f>ข้าราชการ!K22</f>
        <v>0</v>
      </c>
      <c r="N55" s="154"/>
      <c r="O55" s="155"/>
      <c r="P55" s="150" t="s">
        <v>56</v>
      </c>
      <c r="Q55" s="156">
        <f>ข้าราชการ!T22</f>
        <v>0</v>
      </c>
      <c r="R55" s="152"/>
    </row>
    <row r="56" spans="1:18" ht="17.100000000000001" customHeight="1" x14ac:dyDescent="0.2">
      <c r="A56" s="149"/>
      <c r="B56" s="150" t="s">
        <v>6</v>
      </c>
      <c r="C56" s="150"/>
      <c r="D56" s="154">
        <f>ข้าราชการ!L10</f>
        <v>0</v>
      </c>
      <c r="E56" s="154"/>
      <c r="F56" s="155"/>
      <c r="G56" s="150" t="s">
        <v>57</v>
      </c>
      <c r="H56" s="156">
        <v>0</v>
      </c>
      <c r="I56" s="152"/>
      <c r="J56" s="149"/>
      <c r="K56" s="150" t="s">
        <v>6</v>
      </c>
      <c r="L56" s="150"/>
      <c r="M56" s="154">
        <f>ข้าราชการ!L22</f>
        <v>0</v>
      </c>
      <c r="N56" s="154"/>
      <c r="O56" s="155"/>
      <c r="P56" s="150" t="s">
        <v>57</v>
      </c>
      <c r="Q56" s="156">
        <f>ข้าราชการ!U22</f>
        <v>0</v>
      </c>
      <c r="R56" s="152"/>
    </row>
    <row r="57" spans="1:18" ht="17.100000000000001" customHeight="1" x14ac:dyDescent="0.2">
      <c r="A57" s="149"/>
      <c r="B57" s="306" t="s">
        <v>7</v>
      </c>
      <c r="C57" s="306"/>
      <c r="D57" s="154">
        <f>ข้าราชการ!M10</f>
        <v>0</v>
      </c>
      <c r="E57" s="154"/>
      <c r="F57" s="155"/>
      <c r="G57" s="150"/>
      <c r="H57" s="154"/>
      <c r="I57" s="152"/>
      <c r="J57" s="149"/>
      <c r="K57" s="306" t="s">
        <v>7</v>
      </c>
      <c r="L57" s="306"/>
      <c r="M57" s="154">
        <f>ข้าราชการ!M22</f>
        <v>0</v>
      </c>
      <c r="N57" s="154"/>
      <c r="O57" s="155"/>
      <c r="P57" s="150"/>
      <c r="Q57" s="154"/>
      <c r="R57" s="152"/>
    </row>
    <row r="58" spans="1:18" ht="17.100000000000001" customHeight="1" x14ac:dyDescent="0.2">
      <c r="A58" s="149"/>
      <c r="B58" s="307" t="s">
        <v>101</v>
      </c>
      <c r="C58" s="307"/>
      <c r="D58" s="154">
        <f>SUM(D49:D57)</f>
        <v>0</v>
      </c>
      <c r="E58" s="154"/>
      <c r="F58" s="157"/>
      <c r="G58" s="147" t="s">
        <v>102</v>
      </c>
      <c r="H58" s="157">
        <f>SUM(H49:H57)</f>
        <v>0</v>
      </c>
      <c r="I58" s="152"/>
      <c r="J58" s="149"/>
      <c r="K58" s="307" t="s">
        <v>101</v>
      </c>
      <c r="L58" s="307"/>
      <c r="M58" s="157">
        <f>SUM(M49:M57)</f>
        <v>0</v>
      </c>
      <c r="N58" s="157"/>
      <c r="O58" s="157"/>
      <c r="P58" s="147" t="s">
        <v>102</v>
      </c>
      <c r="Q58" s="157">
        <f>SUM(Q49:Q57)</f>
        <v>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0</v>
      </c>
      <c r="F59" s="158" t="s">
        <v>104</v>
      </c>
      <c r="H59" s="150"/>
      <c r="I59" s="152"/>
      <c r="J59" s="149"/>
      <c r="K59" s="150"/>
      <c r="L59" s="147" t="s">
        <v>103</v>
      </c>
      <c r="M59" s="157">
        <f>M58-Q58</f>
        <v>0</v>
      </c>
      <c r="N59" s="157"/>
      <c r="O59" s="158" t="s">
        <v>104</v>
      </c>
      <c r="Q59" s="150"/>
      <c r="R59" s="152"/>
    </row>
    <row r="60" spans="1:18" ht="17.100000000000001" customHeight="1" x14ac:dyDescent="0.2">
      <c r="A60" s="149"/>
      <c r="B60" s="150"/>
      <c r="C60" s="307" t="str">
        <f>"("&amp;BAHTTEXT(D59)&amp;")"</f>
        <v>(ศูนย์บาทถ้วน)</v>
      </c>
      <c r="D60" s="307"/>
      <c r="E60" s="307"/>
      <c r="F60" s="307"/>
      <c r="G60" s="307"/>
      <c r="H60" s="150"/>
      <c r="I60" s="152"/>
      <c r="J60" s="149"/>
      <c r="K60" s="150"/>
      <c r="L60" s="307" t="str">
        <f>"("&amp;BAHTTEXT(M59)&amp;")"</f>
        <v>(ศูนย์บาทถ้วน)</v>
      </c>
      <c r="M60" s="307"/>
      <c r="N60" s="307"/>
      <c r="O60" s="307"/>
      <c r="P60" s="307"/>
      <c r="Q60" s="150"/>
      <c r="R60" s="152"/>
    </row>
    <row r="61" spans="1:18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  <c r="J61" s="149"/>
      <c r="K61" s="150"/>
      <c r="L61" s="147"/>
      <c r="M61" s="147"/>
      <c r="N61" s="147"/>
      <c r="O61" s="147"/>
      <c r="P61" s="147"/>
      <c r="Q61" s="150"/>
      <c r="R61" s="152"/>
    </row>
    <row r="62" spans="1:18" ht="17.100000000000001" customHeight="1" x14ac:dyDescent="0.2">
      <c r="A62" s="149"/>
      <c r="B62" s="150"/>
      <c r="C62" s="150"/>
      <c r="D62" s="150"/>
      <c r="E62" s="150"/>
      <c r="F62" s="150"/>
      <c r="G62" s="150"/>
      <c r="H62" s="150"/>
      <c r="I62" s="152"/>
      <c r="J62" s="149"/>
      <c r="K62" s="150"/>
      <c r="L62" s="150"/>
      <c r="M62" s="150"/>
      <c r="N62" s="150"/>
      <c r="O62" s="150"/>
      <c r="P62" s="150"/>
      <c r="Q62" s="150"/>
      <c r="R62" s="152"/>
    </row>
    <row r="63" spans="1:18" ht="17.100000000000001" customHeight="1" x14ac:dyDescent="0.2">
      <c r="A63" s="149"/>
      <c r="I63" s="152"/>
      <c r="J63" s="149"/>
      <c r="R63" s="152"/>
    </row>
    <row r="64" spans="1:18" ht="17.100000000000001" customHeight="1" x14ac:dyDescent="0.2">
      <c r="A64" s="149"/>
      <c r="I64" s="152"/>
      <c r="J64" s="149"/>
      <c r="R64" s="152"/>
    </row>
    <row r="65" spans="1:18" ht="17.100000000000001" customHeight="1" x14ac:dyDescent="0.2">
      <c r="A65" s="308" t="s">
        <v>315</v>
      </c>
      <c r="B65" s="307"/>
      <c r="C65" s="307"/>
      <c r="D65" s="307"/>
      <c r="E65" s="307"/>
      <c r="F65" s="307"/>
      <c r="G65" s="307"/>
      <c r="H65" s="307"/>
      <c r="I65" s="309"/>
      <c r="J65" s="308" t="s">
        <v>315</v>
      </c>
      <c r="K65" s="307"/>
      <c r="L65" s="307"/>
      <c r="M65" s="307"/>
      <c r="N65" s="307"/>
      <c r="O65" s="307"/>
      <c r="P65" s="307"/>
      <c r="Q65" s="307"/>
      <c r="R65" s="309"/>
    </row>
    <row r="66" spans="1:18" ht="17.100000000000001" customHeight="1" x14ac:dyDescent="0.2">
      <c r="A66" s="310" t="s">
        <v>298</v>
      </c>
      <c r="B66" s="311"/>
      <c r="C66" s="311"/>
      <c r="D66" s="311"/>
      <c r="E66" s="311"/>
      <c r="F66" s="311"/>
      <c r="G66" s="311"/>
      <c r="H66" s="311"/>
      <c r="I66" s="312"/>
      <c r="J66" s="310" t="s">
        <v>298</v>
      </c>
      <c r="K66" s="311"/>
      <c r="L66" s="311"/>
      <c r="M66" s="311"/>
      <c r="N66" s="311"/>
      <c r="O66" s="311"/>
      <c r="P66" s="311"/>
      <c r="Q66" s="311"/>
      <c r="R66" s="312"/>
    </row>
    <row r="67" spans="1:18" ht="17.100000000000001" customHeight="1" x14ac:dyDescent="0.2">
      <c r="A67" s="313" t="str">
        <f>ขร1!A1:I1</f>
        <v>โรงพยาบาลสามโคก  ประจำเดือน  พฤศจิกายน  2568</v>
      </c>
      <c r="B67" s="314"/>
      <c r="C67" s="314"/>
      <c r="D67" s="314"/>
      <c r="E67" s="314"/>
      <c r="F67" s="314"/>
      <c r="G67" s="314"/>
      <c r="H67" s="314"/>
      <c r="I67" s="315"/>
      <c r="J67" s="313" t="str">
        <f>A1</f>
        <v>โรงพยาบาลสามโคก  ประจำเดือน  พฤศจิกายน  2568</v>
      </c>
      <c r="K67" s="314"/>
      <c r="L67" s="314"/>
      <c r="M67" s="314"/>
      <c r="N67" s="314"/>
      <c r="O67" s="314"/>
      <c r="P67" s="314"/>
      <c r="Q67" s="314"/>
      <c r="R67" s="315"/>
    </row>
    <row r="68" spans="1:18" ht="17.100000000000001" customHeight="1" x14ac:dyDescent="0.2">
      <c r="A68" s="308" t="s">
        <v>323</v>
      </c>
      <c r="B68" s="307"/>
      <c r="C68" s="307"/>
      <c r="D68" s="307"/>
      <c r="E68" s="307"/>
      <c r="F68" s="307"/>
      <c r="G68" s="307"/>
      <c r="H68" s="307"/>
      <c r="I68" s="309"/>
      <c r="J68" s="308" t="s">
        <v>310</v>
      </c>
      <c r="K68" s="307"/>
      <c r="L68" s="307"/>
      <c r="M68" s="307"/>
      <c r="N68" s="307"/>
      <c r="O68" s="307"/>
      <c r="P68" s="307"/>
      <c r="Q68" s="307"/>
      <c r="R68" s="309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  <c r="J69" s="149"/>
      <c r="K69" s="153"/>
      <c r="L69" s="150"/>
      <c r="M69" s="147"/>
      <c r="N69" s="147"/>
      <c r="O69" s="147"/>
      <c r="P69" s="150"/>
      <c r="Q69" s="150"/>
      <c r="R69" s="152"/>
    </row>
    <row r="70" spans="1:18" ht="17.100000000000001" customHeight="1" x14ac:dyDescent="0.2">
      <c r="A70" s="149"/>
      <c r="B70" s="307" t="s">
        <v>9</v>
      </c>
      <c r="C70" s="307"/>
      <c r="D70" s="307"/>
      <c r="E70" s="147"/>
      <c r="F70" s="147"/>
      <c r="G70" s="307" t="s">
        <v>10</v>
      </c>
      <c r="H70" s="307"/>
      <c r="I70" s="152"/>
      <c r="J70" s="149"/>
      <c r="K70" s="307" t="s">
        <v>9</v>
      </c>
      <c r="L70" s="307"/>
      <c r="M70" s="307"/>
      <c r="N70" s="147"/>
      <c r="O70" s="147"/>
      <c r="P70" s="307" t="s">
        <v>10</v>
      </c>
      <c r="Q70" s="307"/>
      <c r="R70" s="152"/>
    </row>
    <row r="71" spans="1:18" ht="17.100000000000001" customHeight="1" x14ac:dyDescent="0.2">
      <c r="A71" s="149"/>
      <c r="B71" s="306" t="s">
        <v>3</v>
      </c>
      <c r="C71" s="306"/>
      <c r="D71" s="154">
        <f>ข้าราชการ!E11</f>
        <v>0</v>
      </c>
      <c r="E71" s="154"/>
      <c r="F71" s="155"/>
      <c r="G71" s="150" t="s">
        <v>99</v>
      </c>
      <c r="H71" s="154">
        <f>ข้าราชการ!N11</f>
        <v>0</v>
      </c>
      <c r="I71" s="152"/>
      <c r="J71" s="149"/>
      <c r="K71" s="306" t="s">
        <v>3</v>
      </c>
      <c r="L71" s="306"/>
      <c r="M71" s="154">
        <f>ข้าราชการ!E1</f>
        <v>0</v>
      </c>
      <c r="N71" s="154"/>
      <c r="O71" s="155"/>
      <c r="P71" s="150" t="s">
        <v>99</v>
      </c>
      <c r="Q71" s="154">
        <f>ข้าราชการ!N1</f>
        <v>0</v>
      </c>
      <c r="R71" s="152"/>
    </row>
    <row r="72" spans="1:18" ht="17.100000000000001" customHeight="1" x14ac:dyDescent="0.2">
      <c r="A72" s="149"/>
      <c r="B72" s="306" t="s">
        <v>106</v>
      </c>
      <c r="C72" s="306"/>
      <c r="D72" s="154">
        <f>ข้าราชการ!F11</f>
        <v>0</v>
      </c>
      <c r="E72" s="154"/>
      <c r="F72" s="155"/>
      <c r="G72" s="150" t="s">
        <v>53</v>
      </c>
      <c r="H72" s="154">
        <f>ข้าราชการ!O11</f>
        <v>0</v>
      </c>
      <c r="I72" s="152"/>
      <c r="J72" s="149"/>
      <c r="K72" s="306" t="s">
        <v>106</v>
      </c>
      <c r="L72" s="306"/>
      <c r="M72" s="154">
        <f>ข้าราชการ!F1</f>
        <v>0</v>
      </c>
      <c r="N72" s="154"/>
      <c r="O72" s="155"/>
      <c r="P72" s="150" t="s">
        <v>53</v>
      </c>
      <c r="Q72" s="154">
        <f>ข้าราชการ!O1</f>
        <v>0</v>
      </c>
      <c r="R72" s="152"/>
    </row>
    <row r="73" spans="1:18" ht="17.100000000000001" customHeight="1" x14ac:dyDescent="0.2">
      <c r="A73" s="149"/>
      <c r="B73" s="306" t="s">
        <v>107</v>
      </c>
      <c r="C73" s="306"/>
      <c r="D73" s="154">
        <f>ข้าราชการ!G11</f>
        <v>0</v>
      </c>
      <c r="E73" s="154"/>
      <c r="F73" s="155"/>
      <c r="G73" s="150" t="s">
        <v>54</v>
      </c>
      <c r="H73" s="154">
        <f>ข้าราชการ!P11</f>
        <v>0</v>
      </c>
      <c r="I73" s="152"/>
      <c r="J73" s="149"/>
      <c r="K73" s="306" t="s">
        <v>107</v>
      </c>
      <c r="L73" s="306"/>
      <c r="M73" s="154">
        <f>ข้าราชการ!G1</f>
        <v>0</v>
      </c>
      <c r="N73" s="154"/>
      <c r="O73" s="155"/>
      <c r="P73" s="150" t="s">
        <v>54</v>
      </c>
      <c r="Q73" s="154">
        <f>ข้าราชการ!P1</f>
        <v>0</v>
      </c>
      <c r="R73" s="152"/>
    </row>
    <row r="74" spans="1:18" ht="17.100000000000001" customHeight="1" x14ac:dyDescent="0.2">
      <c r="A74" s="149"/>
      <c r="B74" s="306" t="s">
        <v>130</v>
      </c>
      <c r="C74" s="306"/>
      <c r="D74" s="154">
        <f>ข้าราชการ!H11</f>
        <v>0</v>
      </c>
      <c r="E74" s="154"/>
      <c r="F74" s="155"/>
      <c r="G74" s="150" t="s">
        <v>100</v>
      </c>
      <c r="H74" s="154">
        <f>ข้าราชการ!Q11</f>
        <v>0</v>
      </c>
      <c r="I74" s="152"/>
      <c r="J74" s="149"/>
      <c r="K74" s="306" t="s">
        <v>105</v>
      </c>
      <c r="L74" s="306"/>
      <c r="M74" s="154">
        <f>ข้าราชการ!H23</f>
        <v>0</v>
      </c>
      <c r="N74" s="154"/>
      <c r="O74" s="155"/>
      <c r="P74" s="150" t="s">
        <v>100</v>
      </c>
      <c r="Q74" s="154">
        <f>ข้าราชการ!Q1</f>
        <v>0</v>
      </c>
      <c r="R74" s="152"/>
    </row>
    <row r="75" spans="1:18" ht="17.100000000000001" customHeight="1" x14ac:dyDescent="0.2">
      <c r="A75" s="149"/>
      <c r="B75" s="306" t="s">
        <v>291</v>
      </c>
      <c r="C75" s="306"/>
      <c r="D75" s="154">
        <f>ข้าราชการ!I11</f>
        <v>0</v>
      </c>
      <c r="E75" s="154"/>
      <c r="F75" s="155"/>
      <c r="G75" s="150" t="s">
        <v>55</v>
      </c>
      <c r="H75" s="156">
        <f>ข้าราชการ!R11</f>
        <v>0</v>
      </c>
      <c r="I75" s="152"/>
      <c r="J75" s="149"/>
      <c r="K75" s="306" t="s">
        <v>291</v>
      </c>
      <c r="L75" s="306"/>
      <c r="M75" s="154">
        <f>ข้าราชการ!I23</f>
        <v>0</v>
      </c>
      <c r="N75" s="154"/>
      <c r="O75" s="155"/>
      <c r="P75" s="150" t="s">
        <v>55</v>
      </c>
      <c r="Q75" s="156">
        <f>ข้าราชการ!R1</f>
        <v>0</v>
      </c>
      <c r="R75" s="152"/>
    </row>
    <row r="76" spans="1:18" ht="17.100000000000001" customHeight="1" x14ac:dyDescent="0.2">
      <c r="A76" s="149"/>
      <c r="B76" s="306" t="s">
        <v>119</v>
      </c>
      <c r="C76" s="306"/>
      <c r="D76" s="154">
        <f>ข้าราชการ!J11</f>
        <v>0</v>
      </c>
      <c r="E76" s="154"/>
      <c r="F76" s="155"/>
      <c r="G76" s="153" t="s">
        <v>137</v>
      </c>
      <c r="H76" s="156">
        <f>ข้าราชการ!S11</f>
        <v>0</v>
      </c>
      <c r="I76" s="152"/>
      <c r="J76" s="149"/>
      <c r="K76" s="306" t="s">
        <v>662</v>
      </c>
      <c r="L76" s="306"/>
      <c r="M76" s="154">
        <f>ข้าราชการ!J23</f>
        <v>0</v>
      </c>
      <c r="N76" s="154"/>
      <c r="O76" s="155"/>
      <c r="P76" s="153" t="s">
        <v>137</v>
      </c>
      <c r="Q76" s="156">
        <f>ข้าราชการ!S1</f>
        <v>0</v>
      </c>
      <c r="R76" s="152"/>
    </row>
    <row r="77" spans="1:18" ht="17.100000000000001" customHeight="1" x14ac:dyDescent="0.2">
      <c r="A77" s="149"/>
      <c r="B77" s="306" t="s">
        <v>5</v>
      </c>
      <c r="C77" s="306"/>
      <c r="D77" s="154">
        <f>ข้าราชการ!K11</f>
        <v>0</v>
      </c>
      <c r="E77" s="154"/>
      <c r="F77" s="155"/>
      <c r="G77" s="150" t="s">
        <v>56</v>
      </c>
      <c r="H77" s="156">
        <f>ข้าราชการ!T11</f>
        <v>0</v>
      </c>
      <c r="I77" s="152"/>
      <c r="J77" s="149"/>
      <c r="K77" s="306" t="s">
        <v>5</v>
      </c>
      <c r="L77" s="306"/>
      <c r="M77" s="154">
        <f>ข้าราชการ!K23</f>
        <v>0</v>
      </c>
      <c r="N77" s="154"/>
      <c r="O77" s="155"/>
      <c r="P77" s="150" t="s">
        <v>56</v>
      </c>
      <c r="Q77" s="156">
        <f>ข้าราชการ!T23</f>
        <v>0</v>
      </c>
      <c r="R77" s="152"/>
    </row>
    <row r="78" spans="1:18" ht="17.100000000000001" customHeight="1" x14ac:dyDescent="0.2">
      <c r="A78" s="149"/>
      <c r="B78" s="150" t="s">
        <v>6</v>
      </c>
      <c r="C78" s="150"/>
      <c r="D78" s="154">
        <f>ข้าราชการ!L11</f>
        <v>0</v>
      </c>
      <c r="E78" s="154"/>
      <c r="F78" s="155"/>
      <c r="G78" s="150" t="s">
        <v>57</v>
      </c>
      <c r="H78" s="156">
        <f>ข้าราชการ!U11</f>
        <v>0</v>
      </c>
      <c r="I78" s="152"/>
      <c r="J78" s="149"/>
      <c r="K78" s="150" t="s">
        <v>6</v>
      </c>
      <c r="L78" s="150"/>
      <c r="M78" s="154">
        <f>ข้าราชการ!M23</f>
        <v>0</v>
      </c>
      <c r="N78" s="154"/>
      <c r="O78" s="155"/>
      <c r="P78" s="150" t="s">
        <v>57</v>
      </c>
      <c r="Q78" s="156">
        <f>ข้าราชการ!U23</f>
        <v>0</v>
      </c>
      <c r="R78" s="152"/>
    </row>
    <row r="79" spans="1:18" ht="17.100000000000001" customHeight="1" x14ac:dyDescent="0.2">
      <c r="A79" s="149"/>
      <c r="B79" s="306" t="s">
        <v>7</v>
      </c>
      <c r="C79" s="306"/>
      <c r="D79" s="154">
        <f>ข้าราชการ!M11</f>
        <v>0</v>
      </c>
      <c r="E79" s="154"/>
      <c r="F79" s="155"/>
      <c r="G79" s="150"/>
      <c r="H79" s="154"/>
      <c r="I79" s="152"/>
      <c r="J79" s="149"/>
      <c r="K79" s="306" t="s">
        <v>7</v>
      </c>
      <c r="L79" s="306"/>
      <c r="M79" s="154">
        <f>ข้าราชการ!M1</f>
        <v>0</v>
      </c>
      <c r="N79" s="154"/>
      <c r="O79" s="155"/>
      <c r="P79" s="150"/>
      <c r="Q79" s="154"/>
      <c r="R79" s="152"/>
    </row>
    <row r="80" spans="1:18" ht="17.100000000000001" customHeight="1" x14ac:dyDescent="0.2">
      <c r="A80" s="149"/>
      <c r="B80" s="307" t="s">
        <v>101</v>
      </c>
      <c r="C80" s="307"/>
      <c r="D80" s="154">
        <f>SUM(D71:D79)</f>
        <v>0</v>
      </c>
      <c r="E80" s="154"/>
      <c r="F80" s="157"/>
      <c r="G80" s="147" t="s">
        <v>102</v>
      </c>
      <c r="H80" s="157">
        <f>SUM(H71:H79)</f>
        <v>0</v>
      </c>
      <c r="I80" s="152"/>
      <c r="J80" s="149"/>
      <c r="K80" s="307" t="s">
        <v>101</v>
      </c>
      <c r="L80" s="307"/>
      <c r="M80" s="154">
        <f>SUM(M71:M79)</f>
        <v>0</v>
      </c>
      <c r="N80" s="157"/>
      <c r="O80" s="157"/>
      <c r="P80" s="147" t="s">
        <v>102</v>
      </c>
      <c r="Q80" s="157">
        <f>SUM(Q71:Q79)</f>
        <v>0</v>
      </c>
      <c r="R80" s="152"/>
    </row>
    <row r="81" spans="1:18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  <c r="J81" s="149"/>
      <c r="K81" s="150"/>
      <c r="L81" s="147" t="s">
        <v>103</v>
      </c>
      <c r="M81" s="157">
        <f>M80-Q80</f>
        <v>0</v>
      </c>
      <c r="N81" s="157"/>
      <c r="O81" s="158" t="s">
        <v>104</v>
      </c>
      <c r="Q81" s="150"/>
      <c r="R81" s="152"/>
    </row>
    <row r="82" spans="1:18" ht="17.100000000000001" customHeight="1" x14ac:dyDescent="0.2">
      <c r="A82" s="149"/>
      <c r="B82" s="150"/>
      <c r="C82" s="307" t="str">
        <f>"("&amp;BAHTTEXT(D81)&amp;")"</f>
        <v>(ศูนย์บาทถ้วน)</v>
      </c>
      <c r="D82" s="307"/>
      <c r="E82" s="307"/>
      <c r="F82" s="307"/>
      <c r="G82" s="307"/>
      <c r="H82" s="150"/>
      <c r="I82" s="152"/>
      <c r="J82" s="149"/>
      <c r="K82" s="150"/>
      <c r="L82" s="307" t="str">
        <f>"("&amp;BAHTTEXT(M81)&amp;")"</f>
        <v>(ศูนย์บาทถ้วน)</v>
      </c>
      <c r="M82" s="307"/>
      <c r="N82" s="307"/>
      <c r="O82" s="307"/>
      <c r="P82" s="307"/>
      <c r="Q82" s="150"/>
      <c r="R82" s="152"/>
    </row>
    <row r="83" spans="1:18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  <c r="J83" s="149"/>
      <c r="K83" s="150"/>
      <c r="L83" s="147"/>
      <c r="M83" s="147"/>
      <c r="N83" s="147"/>
      <c r="O83" s="147"/>
      <c r="P83" s="147"/>
      <c r="Q83" s="150"/>
      <c r="R83" s="152"/>
    </row>
    <row r="84" spans="1:18" ht="17.100000000000001" customHeight="1" x14ac:dyDescent="0.2">
      <c r="A84" s="149"/>
      <c r="B84" s="150"/>
      <c r="C84" s="150"/>
      <c r="D84" s="150"/>
      <c r="E84" s="150"/>
      <c r="F84" s="150"/>
      <c r="G84" s="150"/>
      <c r="H84" s="150"/>
      <c r="I84" s="152"/>
      <c r="J84" s="149"/>
      <c r="K84" s="150"/>
      <c r="L84" s="150"/>
      <c r="M84" s="150"/>
      <c r="N84" s="150"/>
      <c r="O84" s="150"/>
      <c r="P84" s="150"/>
      <c r="Q84" s="150"/>
      <c r="R84" s="152"/>
    </row>
    <row r="85" spans="1:18" ht="17.100000000000001" customHeight="1" x14ac:dyDescent="0.2">
      <c r="A85" s="149"/>
      <c r="I85" s="152"/>
      <c r="J85" s="149"/>
      <c r="R85" s="152"/>
    </row>
    <row r="86" spans="1:18" ht="17.100000000000001" customHeight="1" x14ac:dyDescent="0.2">
      <c r="A86" s="149"/>
      <c r="I86" s="152"/>
      <c r="J86" s="149"/>
      <c r="R86" s="152"/>
    </row>
    <row r="87" spans="1:18" ht="17.100000000000001" customHeight="1" x14ac:dyDescent="0.2">
      <c r="A87" s="308" t="s">
        <v>315</v>
      </c>
      <c r="B87" s="307"/>
      <c r="C87" s="307"/>
      <c r="D87" s="307"/>
      <c r="E87" s="307"/>
      <c r="F87" s="307"/>
      <c r="G87" s="307"/>
      <c r="H87" s="307"/>
      <c r="I87" s="309"/>
      <c r="J87" s="308" t="s">
        <v>315</v>
      </c>
      <c r="K87" s="307"/>
      <c r="L87" s="307"/>
      <c r="M87" s="307"/>
      <c r="N87" s="307"/>
      <c r="O87" s="307"/>
      <c r="P87" s="307"/>
      <c r="Q87" s="307"/>
      <c r="R87" s="309"/>
    </row>
    <row r="88" spans="1:18" ht="17.100000000000001" customHeight="1" x14ac:dyDescent="0.2">
      <c r="A88" s="310" t="s">
        <v>298</v>
      </c>
      <c r="B88" s="311"/>
      <c r="C88" s="311"/>
      <c r="D88" s="311"/>
      <c r="E88" s="311"/>
      <c r="F88" s="311"/>
      <c r="G88" s="311"/>
      <c r="H88" s="311"/>
      <c r="I88" s="312"/>
      <c r="J88" s="310" t="s">
        <v>298</v>
      </c>
      <c r="K88" s="311"/>
      <c r="L88" s="311"/>
      <c r="M88" s="311"/>
      <c r="N88" s="311"/>
      <c r="O88" s="311"/>
      <c r="P88" s="311"/>
      <c r="Q88" s="311"/>
      <c r="R88" s="312"/>
    </row>
    <row r="89" spans="1:18" ht="17.100000000000001" customHeight="1" x14ac:dyDescent="0.2">
      <c r="A89" s="313" t="str">
        <f>ขร1!A67</f>
        <v>โรงพยาบาลสามโคก  ประจำเดือน  พฤศจิกายน  2568</v>
      </c>
      <c r="B89" s="314"/>
      <c r="C89" s="314"/>
      <c r="D89" s="314"/>
      <c r="E89" s="314"/>
      <c r="F89" s="314"/>
      <c r="G89" s="314"/>
      <c r="H89" s="314"/>
      <c r="I89" s="315"/>
      <c r="J89" s="313" t="str">
        <f>A1</f>
        <v>โรงพยาบาลสามโคก  ประจำเดือน  พฤศจิกายน  2568</v>
      </c>
      <c r="K89" s="314"/>
      <c r="L89" s="314"/>
      <c r="M89" s="314"/>
      <c r="N89" s="314"/>
      <c r="O89" s="314"/>
      <c r="P89" s="314"/>
      <c r="Q89" s="314"/>
      <c r="R89" s="315"/>
    </row>
    <row r="90" spans="1:18" ht="17.100000000000001" customHeight="1" x14ac:dyDescent="0.2">
      <c r="A90" s="308" t="s">
        <v>240</v>
      </c>
      <c r="B90" s="307"/>
      <c r="C90" s="307"/>
      <c r="D90" s="307"/>
      <c r="E90" s="307"/>
      <c r="F90" s="307"/>
      <c r="G90" s="307"/>
      <c r="H90" s="307"/>
      <c r="I90" s="309"/>
      <c r="J90" s="308" t="s">
        <v>501</v>
      </c>
      <c r="K90" s="307"/>
      <c r="L90" s="307"/>
      <c r="M90" s="307"/>
      <c r="N90" s="307"/>
      <c r="O90" s="307"/>
      <c r="P90" s="307"/>
      <c r="Q90" s="307"/>
      <c r="R90" s="152"/>
    </row>
    <row r="91" spans="1:18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  <c r="J91" s="149"/>
      <c r="K91" s="153"/>
      <c r="L91" s="150"/>
      <c r="M91" s="147"/>
      <c r="N91" s="147"/>
      <c r="O91" s="147"/>
      <c r="P91" s="150"/>
      <c r="Q91" s="150"/>
      <c r="R91" s="152"/>
    </row>
    <row r="92" spans="1:18" ht="17.100000000000001" customHeight="1" x14ac:dyDescent="0.2">
      <c r="A92" s="149"/>
      <c r="B92" s="307" t="s">
        <v>9</v>
      </c>
      <c r="C92" s="307"/>
      <c r="D92" s="307"/>
      <c r="E92" s="147"/>
      <c r="F92" s="147"/>
      <c r="G92" s="307" t="s">
        <v>10</v>
      </c>
      <c r="H92" s="307"/>
      <c r="I92" s="152"/>
      <c r="J92" s="149"/>
      <c r="K92" s="307" t="s">
        <v>9</v>
      </c>
      <c r="L92" s="307"/>
      <c r="M92" s="307"/>
      <c r="N92" s="147"/>
      <c r="O92" s="147"/>
      <c r="P92" s="307" t="s">
        <v>10</v>
      </c>
      <c r="Q92" s="307"/>
      <c r="R92" s="152"/>
    </row>
    <row r="93" spans="1:18" ht="17.100000000000001" customHeight="1" x14ac:dyDescent="0.2">
      <c r="A93" s="149"/>
      <c r="B93" s="306" t="s">
        <v>3</v>
      </c>
      <c r="C93" s="306"/>
      <c r="D93" s="154">
        <f>ข้าราชการ!E12</f>
        <v>0</v>
      </c>
      <c r="E93" s="154"/>
      <c r="F93" s="155"/>
      <c r="G93" s="150" t="s">
        <v>99</v>
      </c>
      <c r="H93" s="154">
        <f>ข้าราชการ!N12</f>
        <v>0</v>
      </c>
      <c r="I93" s="152"/>
      <c r="J93" s="149"/>
      <c r="K93" s="306" t="s">
        <v>3</v>
      </c>
      <c r="L93" s="306"/>
      <c r="M93" s="154">
        <f>ข้าราชการ!E24</f>
        <v>0</v>
      </c>
      <c r="N93" s="154"/>
      <c r="O93" s="155"/>
      <c r="P93" s="150" t="s">
        <v>99</v>
      </c>
      <c r="Q93" s="154">
        <f>ข้าราชการ!N24</f>
        <v>0</v>
      </c>
      <c r="R93" s="152"/>
    </row>
    <row r="94" spans="1:18" ht="17.100000000000001" customHeight="1" x14ac:dyDescent="0.2">
      <c r="A94" s="149"/>
      <c r="B94" s="306" t="s">
        <v>106</v>
      </c>
      <c r="C94" s="306"/>
      <c r="D94" s="154">
        <f>ข้าราชการ!F12</f>
        <v>0</v>
      </c>
      <c r="E94" s="154"/>
      <c r="F94" s="155"/>
      <c r="G94" s="150" t="s">
        <v>53</v>
      </c>
      <c r="H94" s="154">
        <f>ข้าราชการ!O12</f>
        <v>0</v>
      </c>
      <c r="I94" s="152"/>
      <c r="J94" s="149"/>
      <c r="K94" s="306" t="s">
        <v>106</v>
      </c>
      <c r="L94" s="306"/>
      <c r="M94" s="154">
        <f>ข้าราชการ!F24</f>
        <v>0</v>
      </c>
      <c r="N94" s="154"/>
      <c r="O94" s="155"/>
      <c r="P94" s="150" t="s">
        <v>53</v>
      </c>
      <c r="Q94" s="154">
        <f>ข้าราชการ!O24</f>
        <v>0</v>
      </c>
      <c r="R94" s="152"/>
    </row>
    <row r="95" spans="1:18" ht="17.100000000000001" customHeight="1" x14ac:dyDescent="0.2">
      <c r="A95" s="149"/>
      <c r="B95" s="306" t="s">
        <v>107</v>
      </c>
      <c r="C95" s="306"/>
      <c r="D95" s="154">
        <f>ข้าราชการ!G12</f>
        <v>0</v>
      </c>
      <c r="E95" s="154"/>
      <c r="F95" s="155"/>
      <c r="G95" s="150" t="s">
        <v>54</v>
      </c>
      <c r="H95" s="154">
        <f>ข้าราชการ!P12</f>
        <v>0</v>
      </c>
      <c r="I95" s="152"/>
      <c r="J95" s="149"/>
      <c r="K95" s="306" t="s">
        <v>665</v>
      </c>
      <c r="L95" s="306"/>
      <c r="M95" s="154">
        <f>ข้าราชการ!G24</f>
        <v>0</v>
      </c>
      <c r="N95" s="154"/>
      <c r="O95" s="155"/>
      <c r="P95" s="150" t="s">
        <v>54</v>
      </c>
      <c r="Q95" s="154">
        <f>ข้าราชการ!P24</f>
        <v>0</v>
      </c>
      <c r="R95" s="152"/>
    </row>
    <row r="96" spans="1:18" ht="17.100000000000001" customHeight="1" x14ac:dyDescent="0.2">
      <c r="A96" s="149"/>
      <c r="B96" s="306" t="s">
        <v>130</v>
      </c>
      <c r="C96" s="306"/>
      <c r="D96" s="154">
        <f>ข้าราชการ!H12</f>
        <v>0</v>
      </c>
      <c r="E96" s="154"/>
      <c r="F96" s="155"/>
      <c r="G96" s="150" t="s">
        <v>100</v>
      </c>
      <c r="H96" s="154">
        <f>ข้าราชการ!Q12</f>
        <v>0</v>
      </c>
      <c r="I96" s="152"/>
      <c r="J96" s="149"/>
      <c r="K96" s="306" t="s">
        <v>105</v>
      </c>
      <c r="L96" s="306"/>
      <c r="M96" s="154">
        <f>ข้าราชการ!H24</f>
        <v>0</v>
      </c>
      <c r="N96" s="154"/>
      <c r="O96" s="155"/>
      <c r="P96" s="150" t="s">
        <v>100</v>
      </c>
      <c r="Q96" s="154">
        <f>ข้าราชการ!Q24</f>
        <v>0</v>
      </c>
      <c r="R96" s="152"/>
    </row>
    <row r="97" spans="1:18" ht="17.100000000000001" customHeight="1" x14ac:dyDescent="0.2">
      <c r="A97" s="149"/>
      <c r="B97" s="306" t="s">
        <v>558</v>
      </c>
      <c r="C97" s="306"/>
      <c r="D97" s="154">
        <f>ข้าราชการ!I12</f>
        <v>0</v>
      </c>
      <c r="E97" s="154"/>
      <c r="F97" s="155"/>
      <c r="G97" s="150" t="s">
        <v>55</v>
      </c>
      <c r="H97" s="156">
        <f>ข้าราชการ!R12</f>
        <v>0</v>
      </c>
      <c r="I97" s="152"/>
      <c r="J97" s="149"/>
      <c r="K97" s="306" t="s">
        <v>291</v>
      </c>
      <c r="L97" s="306"/>
      <c r="M97" s="154">
        <f>ข้าราชการ!I24</f>
        <v>0</v>
      </c>
      <c r="N97" s="154"/>
      <c r="O97" s="155"/>
      <c r="P97" s="150" t="s">
        <v>55</v>
      </c>
      <c r="Q97" s="156">
        <f>ข้าราชการ!R24</f>
        <v>0</v>
      </c>
      <c r="R97" s="152"/>
    </row>
    <row r="98" spans="1:18" ht="17.100000000000001" customHeight="1" x14ac:dyDescent="0.2">
      <c r="A98" s="149"/>
      <c r="B98" s="306" t="s">
        <v>119</v>
      </c>
      <c r="C98" s="306"/>
      <c r="D98" s="154">
        <f>ข้าราชการ!J12</f>
        <v>0</v>
      </c>
      <c r="E98" s="154"/>
      <c r="F98" s="155"/>
      <c r="G98" s="153" t="s">
        <v>137</v>
      </c>
      <c r="H98" s="156">
        <f>ข้าราชการ!S12</f>
        <v>0</v>
      </c>
      <c r="I98" s="152"/>
      <c r="J98" s="149"/>
      <c r="K98" s="306" t="s">
        <v>662</v>
      </c>
      <c r="L98" s="306"/>
      <c r="M98" s="154">
        <f>ข้าราชการ!J24</f>
        <v>0</v>
      </c>
      <c r="N98" s="154"/>
      <c r="O98" s="155"/>
      <c r="P98" s="153" t="s">
        <v>137</v>
      </c>
      <c r="Q98" s="156">
        <f>ข้าราชการ!S24</f>
        <v>0</v>
      </c>
      <c r="R98" s="152"/>
    </row>
    <row r="99" spans="1:18" ht="17.100000000000001" customHeight="1" x14ac:dyDescent="0.2">
      <c r="A99" s="149"/>
      <c r="B99" s="306" t="s">
        <v>5</v>
      </c>
      <c r="C99" s="306"/>
      <c r="D99" s="154">
        <f>ข้าราชการ!K12</f>
        <v>0</v>
      </c>
      <c r="E99" s="154"/>
      <c r="F99" s="155"/>
      <c r="G99" s="150" t="s">
        <v>56</v>
      </c>
      <c r="H99" s="156">
        <f>ข้าราชการ!T12</f>
        <v>0</v>
      </c>
      <c r="I99" s="152"/>
      <c r="J99" s="149"/>
      <c r="K99" s="306" t="s">
        <v>5</v>
      </c>
      <c r="L99" s="306"/>
      <c r="M99" s="154">
        <f>ข้าราชการ!K24</f>
        <v>0</v>
      </c>
      <c r="N99" s="154"/>
      <c r="O99" s="155"/>
      <c r="P99" s="150" t="s">
        <v>56</v>
      </c>
      <c r="Q99" s="156">
        <f>ข้าราชการ!T24</f>
        <v>0</v>
      </c>
      <c r="R99" s="152"/>
    </row>
    <row r="100" spans="1:18" ht="17.100000000000001" customHeight="1" x14ac:dyDescent="0.2">
      <c r="A100" s="149"/>
      <c r="B100" s="150" t="s">
        <v>6</v>
      </c>
      <c r="C100" s="150"/>
      <c r="D100" s="154">
        <f>ข้าราชการ!L12</f>
        <v>0</v>
      </c>
      <c r="E100" s="154"/>
      <c r="F100" s="155"/>
      <c r="G100" s="150" t="s">
        <v>57</v>
      </c>
      <c r="H100" s="156">
        <f>ข้าราชการ!U12</f>
        <v>0</v>
      </c>
      <c r="I100" s="152"/>
      <c r="J100" s="149"/>
      <c r="K100" s="150" t="s">
        <v>6</v>
      </c>
      <c r="L100" s="150"/>
      <c r="M100" s="154">
        <f>ข้าราชการ!L24</f>
        <v>0</v>
      </c>
      <c r="N100" s="154"/>
      <c r="O100" s="155"/>
      <c r="P100" s="150" t="s">
        <v>57</v>
      </c>
      <c r="Q100" s="156">
        <f>ข้าราชการ!U24</f>
        <v>0</v>
      </c>
      <c r="R100" s="152"/>
    </row>
    <row r="101" spans="1:18" ht="17.100000000000001" customHeight="1" x14ac:dyDescent="0.2">
      <c r="A101" s="149"/>
      <c r="B101" s="306" t="s">
        <v>7</v>
      </c>
      <c r="C101" s="306"/>
      <c r="D101" s="154">
        <f>ข้าราชการ!M12</f>
        <v>0</v>
      </c>
      <c r="E101" s="154"/>
      <c r="F101" s="155"/>
      <c r="G101" s="150"/>
      <c r="H101" s="154"/>
      <c r="I101" s="152"/>
      <c r="J101" s="149"/>
      <c r="K101" s="306" t="s">
        <v>7</v>
      </c>
      <c r="L101" s="306"/>
      <c r="M101" s="154">
        <f>ข้าราชการ!M24</f>
        <v>0</v>
      </c>
      <c r="N101" s="154"/>
      <c r="O101" s="155"/>
      <c r="P101" s="150"/>
      <c r="Q101" s="154"/>
      <c r="R101" s="152"/>
    </row>
    <row r="102" spans="1:18" ht="17.100000000000001" customHeight="1" x14ac:dyDescent="0.2">
      <c r="A102" s="149"/>
      <c r="B102" s="307" t="s">
        <v>101</v>
      </c>
      <c r="C102" s="307"/>
      <c r="D102" s="157">
        <f>SUM(D93:D101)</f>
        <v>0</v>
      </c>
      <c r="E102" s="157"/>
      <c r="F102" s="157"/>
      <c r="G102" s="147" t="s">
        <v>102</v>
      </c>
      <c r="H102" s="157">
        <f>SUM(H93:H101)</f>
        <v>0</v>
      </c>
      <c r="I102" s="152"/>
      <c r="J102" s="149"/>
      <c r="K102" s="307" t="s">
        <v>101</v>
      </c>
      <c r="L102" s="307"/>
      <c r="M102" s="154">
        <f>SUM(M93:M101)</f>
        <v>0</v>
      </c>
      <c r="N102" s="157"/>
      <c r="O102" s="157"/>
      <c r="P102" s="147" t="s">
        <v>102</v>
      </c>
      <c r="Q102" s="157">
        <f>SUM(Q93:Q101)</f>
        <v>0</v>
      </c>
      <c r="R102" s="152"/>
    </row>
    <row r="103" spans="1:18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  <c r="J103" s="149"/>
      <c r="K103" s="150"/>
      <c r="L103" s="147" t="s">
        <v>103</v>
      </c>
      <c r="M103" s="157">
        <f>M102-Q102</f>
        <v>0</v>
      </c>
      <c r="N103" s="157"/>
      <c r="O103" s="158" t="s">
        <v>104</v>
      </c>
      <c r="Q103" s="150"/>
      <c r="R103" s="152"/>
    </row>
    <row r="104" spans="1:18" ht="17.100000000000001" customHeight="1" x14ac:dyDescent="0.2">
      <c r="A104" s="149"/>
      <c r="B104" s="150"/>
      <c r="C104" s="307" t="str">
        <f>"("&amp;BAHTTEXT(D103)&amp;")"</f>
        <v>(ศูนย์บาทถ้วน)</v>
      </c>
      <c r="D104" s="307"/>
      <c r="E104" s="307"/>
      <c r="F104" s="307"/>
      <c r="G104" s="307"/>
      <c r="H104" s="150"/>
      <c r="I104" s="152"/>
      <c r="J104" s="149"/>
      <c r="K104" s="150"/>
      <c r="L104" s="307" t="str">
        <f>"("&amp;BAHTTEXT(M103)&amp;")"</f>
        <v>(ศูนย์บาทถ้วน)</v>
      </c>
      <c r="M104" s="307"/>
      <c r="N104" s="307"/>
      <c r="O104" s="307"/>
      <c r="P104" s="307"/>
      <c r="Q104" s="150"/>
      <c r="R104" s="152"/>
    </row>
    <row r="105" spans="1:18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  <c r="J105" s="149"/>
      <c r="K105" s="150"/>
      <c r="L105" s="147"/>
      <c r="M105" s="147"/>
      <c r="N105" s="147"/>
      <c r="O105" s="147"/>
      <c r="P105" s="147"/>
      <c r="Q105" s="150"/>
      <c r="R105" s="152"/>
    </row>
    <row r="106" spans="1:18" ht="17.100000000000001" customHeight="1" x14ac:dyDescent="0.2">
      <c r="A106" s="149"/>
      <c r="B106" s="150"/>
      <c r="C106" s="150"/>
      <c r="D106" s="150"/>
      <c r="E106" s="150"/>
      <c r="F106" s="150"/>
      <c r="G106" s="150"/>
      <c r="H106" s="150"/>
      <c r="I106" s="152"/>
      <c r="J106" s="149"/>
      <c r="K106" s="150"/>
      <c r="L106" s="150"/>
      <c r="M106" s="150"/>
      <c r="N106" s="150"/>
      <c r="O106" s="150"/>
      <c r="P106" s="150"/>
      <c r="Q106" s="150"/>
      <c r="R106" s="152"/>
    </row>
    <row r="107" spans="1:18" ht="17.100000000000001" customHeight="1" x14ac:dyDescent="0.2">
      <c r="A107" s="149"/>
      <c r="I107" s="152"/>
      <c r="J107" s="149"/>
      <c r="R107" s="152"/>
    </row>
    <row r="108" spans="1:18" ht="17.100000000000001" customHeight="1" x14ac:dyDescent="0.2">
      <c r="A108" s="149"/>
      <c r="I108" s="152"/>
      <c r="J108" s="149"/>
      <c r="R108" s="152"/>
    </row>
    <row r="109" spans="1:18" ht="17.100000000000001" customHeight="1" x14ac:dyDescent="0.2">
      <c r="A109" s="308" t="s">
        <v>315</v>
      </c>
      <c r="B109" s="307"/>
      <c r="C109" s="307"/>
      <c r="D109" s="307"/>
      <c r="E109" s="307"/>
      <c r="F109" s="307"/>
      <c r="G109" s="307"/>
      <c r="H109" s="307"/>
      <c r="I109" s="309"/>
      <c r="J109" s="308" t="s">
        <v>315</v>
      </c>
      <c r="K109" s="307"/>
      <c r="L109" s="307"/>
      <c r="M109" s="307"/>
      <c r="N109" s="307"/>
      <c r="O109" s="307"/>
      <c r="P109" s="307"/>
      <c r="Q109" s="307"/>
      <c r="R109" s="309"/>
    </row>
    <row r="110" spans="1:18" ht="17.100000000000001" customHeight="1" x14ac:dyDescent="0.2">
      <c r="A110" s="310" t="s">
        <v>298</v>
      </c>
      <c r="B110" s="311"/>
      <c r="C110" s="311"/>
      <c r="D110" s="311"/>
      <c r="E110" s="311"/>
      <c r="F110" s="311"/>
      <c r="G110" s="311"/>
      <c r="H110" s="311"/>
      <c r="I110" s="312"/>
      <c r="J110" s="310" t="s">
        <v>298</v>
      </c>
      <c r="K110" s="311"/>
      <c r="L110" s="311"/>
      <c r="M110" s="311"/>
      <c r="N110" s="311"/>
      <c r="O110" s="311"/>
      <c r="P110" s="311"/>
      <c r="Q110" s="311"/>
      <c r="R110" s="312"/>
    </row>
    <row r="111" spans="1:18" ht="17.100000000000001" customHeight="1" x14ac:dyDescent="0.2">
      <c r="A111" s="313" t="str">
        <f>A1</f>
        <v>โรงพยาบาลสามโคก  ประจำเดือน  พฤศจิกายน  2568</v>
      </c>
      <c r="B111" s="314"/>
      <c r="C111" s="314"/>
      <c r="D111" s="314"/>
      <c r="E111" s="314"/>
      <c r="F111" s="314"/>
      <c r="G111" s="314"/>
      <c r="H111" s="314"/>
      <c r="I111" s="315"/>
      <c r="J111" s="313" t="str">
        <f>A1</f>
        <v>โรงพยาบาลสามโคก  ประจำเดือน  พฤศจิกายน  2568</v>
      </c>
      <c r="K111" s="314"/>
      <c r="L111" s="314"/>
      <c r="M111" s="314"/>
      <c r="N111" s="314"/>
      <c r="O111" s="314"/>
      <c r="P111" s="314"/>
      <c r="Q111" s="314"/>
      <c r="R111" s="315"/>
    </row>
    <row r="112" spans="1:18" ht="17.100000000000001" customHeight="1" x14ac:dyDescent="0.2">
      <c r="A112" s="308" t="s">
        <v>306</v>
      </c>
      <c r="B112" s="307"/>
      <c r="C112" s="307"/>
      <c r="D112" s="307"/>
      <c r="E112" s="307"/>
      <c r="F112" s="307"/>
      <c r="G112" s="307"/>
      <c r="H112" s="307"/>
      <c r="I112" s="309"/>
      <c r="J112" s="308" t="s">
        <v>245</v>
      </c>
      <c r="K112" s="307"/>
      <c r="L112" s="307"/>
      <c r="M112" s="307"/>
      <c r="N112" s="307"/>
      <c r="O112" s="307"/>
      <c r="P112" s="307"/>
      <c r="Q112" s="307"/>
      <c r="R112" s="309"/>
    </row>
    <row r="113" spans="1:18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  <c r="J113" s="149"/>
      <c r="K113" s="153"/>
      <c r="L113" s="150"/>
      <c r="M113" s="147"/>
      <c r="N113" s="147"/>
      <c r="O113" s="147"/>
      <c r="P113" s="150"/>
      <c r="Q113" s="150"/>
      <c r="R113" s="163"/>
    </row>
    <row r="114" spans="1:18" ht="17.100000000000001" customHeight="1" x14ac:dyDescent="0.2">
      <c r="A114" s="149"/>
      <c r="B114" s="307" t="s">
        <v>9</v>
      </c>
      <c r="C114" s="307"/>
      <c r="D114" s="307"/>
      <c r="E114" s="147"/>
      <c r="F114" s="147"/>
      <c r="G114" s="307" t="s">
        <v>10</v>
      </c>
      <c r="H114" s="307"/>
      <c r="I114" s="152"/>
      <c r="J114" s="149"/>
      <c r="K114" s="307" t="s">
        <v>9</v>
      </c>
      <c r="L114" s="307"/>
      <c r="M114" s="307"/>
      <c r="N114" s="147"/>
      <c r="O114" s="147"/>
      <c r="P114" s="307" t="s">
        <v>10</v>
      </c>
      <c r="Q114" s="307"/>
      <c r="R114" s="148"/>
    </row>
    <row r="115" spans="1:18" ht="17.100000000000001" customHeight="1" x14ac:dyDescent="0.2">
      <c r="A115" s="149"/>
      <c r="B115" s="306" t="s">
        <v>3</v>
      </c>
      <c r="C115" s="306"/>
      <c r="D115" s="154">
        <f>ข้าราชการ!E184</f>
        <v>0</v>
      </c>
      <c r="E115" s="154"/>
      <c r="F115" s="155"/>
      <c r="G115" s="150" t="s">
        <v>99</v>
      </c>
      <c r="H115" s="154">
        <f>ข้าราชการ!N184</f>
        <v>0</v>
      </c>
      <c r="I115" s="152"/>
      <c r="J115" s="149"/>
      <c r="K115" s="306" t="s">
        <v>3</v>
      </c>
      <c r="L115" s="306"/>
      <c r="M115" s="154">
        <v>0</v>
      </c>
      <c r="N115" s="154"/>
      <c r="O115" s="155"/>
      <c r="P115" s="150" t="s">
        <v>99</v>
      </c>
      <c r="Q115" s="154">
        <f>ข้าราชการ!N186</f>
        <v>0</v>
      </c>
      <c r="R115" s="164"/>
    </row>
    <row r="116" spans="1:18" ht="17.100000000000001" customHeight="1" x14ac:dyDescent="0.2">
      <c r="A116" s="149"/>
      <c r="B116" s="306" t="s">
        <v>106</v>
      </c>
      <c r="C116" s="306"/>
      <c r="D116" s="154">
        <f>ข้าราชการ!F184</f>
        <v>0</v>
      </c>
      <c r="E116" s="154"/>
      <c r="F116" s="155"/>
      <c r="G116" s="150" t="s">
        <v>53</v>
      </c>
      <c r="H116" s="154">
        <f>ข้าราชการ!O184</f>
        <v>0</v>
      </c>
      <c r="I116" s="152"/>
      <c r="J116" s="149"/>
      <c r="K116" s="306" t="s">
        <v>106</v>
      </c>
      <c r="L116" s="306"/>
      <c r="M116" s="154">
        <f>ข้าราชการ!F94</f>
        <v>0</v>
      </c>
      <c r="N116" s="154"/>
      <c r="O116" s="155"/>
      <c r="P116" s="150" t="s">
        <v>53</v>
      </c>
      <c r="Q116" s="154">
        <f>ข้าราชการ!O186</f>
        <v>0</v>
      </c>
      <c r="R116" s="164"/>
    </row>
    <row r="117" spans="1:18" ht="17.100000000000001" customHeight="1" x14ac:dyDescent="0.2">
      <c r="A117" s="149"/>
      <c r="B117" s="306" t="s">
        <v>140</v>
      </c>
      <c r="C117" s="306"/>
      <c r="D117" s="154">
        <f>ข้าราชการ!G95</f>
        <v>0</v>
      </c>
      <c r="E117" s="154"/>
      <c r="F117" s="155"/>
      <c r="G117" s="150" t="s">
        <v>54</v>
      </c>
      <c r="H117" s="154">
        <f>ข้าราชการ!P184</f>
        <v>0</v>
      </c>
      <c r="I117" s="152"/>
      <c r="J117" s="149"/>
      <c r="K117" s="306" t="s">
        <v>140</v>
      </c>
      <c r="L117" s="306"/>
      <c r="M117" s="154">
        <f>ข้าราชการ!G27</f>
        <v>0</v>
      </c>
      <c r="N117" s="154"/>
      <c r="O117" s="155"/>
      <c r="P117" s="150" t="s">
        <v>54</v>
      </c>
      <c r="Q117" s="154">
        <f>ข้าราชการ!P186</f>
        <v>0</v>
      </c>
      <c r="R117" s="164"/>
    </row>
    <row r="118" spans="1:18" ht="16.5" customHeight="1" x14ac:dyDescent="0.2">
      <c r="A118" s="149"/>
      <c r="B118" s="306" t="s">
        <v>130</v>
      </c>
      <c r="C118" s="306"/>
      <c r="D118" s="154">
        <f>ข้าราชการ!H13</f>
        <v>0</v>
      </c>
      <c r="E118" s="154"/>
      <c r="F118" s="155"/>
      <c r="G118" s="150" t="s">
        <v>100</v>
      </c>
      <c r="H118" s="154">
        <f>ข้าราชการ!Q184</f>
        <v>0</v>
      </c>
      <c r="I118" s="152"/>
      <c r="J118" s="149"/>
      <c r="K118" s="306" t="s">
        <v>130</v>
      </c>
      <c r="L118" s="306"/>
      <c r="M118" s="154">
        <f>ข้าราชการ!H27</f>
        <v>0</v>
      </c>
      <c r="N118" s="154"/>
      <c r="O118" s="155"/>
      <c r="P118" s="150" t="s">
        <v>100</v>
      </c>
      <c r="Q118" s="154">
        <v>0</v>
      </c>
      <c r="R118" s="164"/>
    </row>
    <row r="119" spans="1:18" ht="17.100000000000001" customHeight="1" x14ac:dyDescent="0.2">
      <c r="A119" s="149"/>
      <c r="B119" s="306" t="s">
        <v>291</v>
      </c>
      <c r="C119" s="306"/>
      <c r="D119" s="154">
        <f>ข้าราชการ!I13</f>
        <v>0</v>
      </c>
      <c r="E119" s="154"/>
      <c r="F119" s="155"/>
      <c r="G119" s="150" t="s">
        <v>55</v>
      </c>
      <c r="H119" s="156">
        <f>ข้าราชการ!R184</f>
        <v>0</v>
      </c>
      <c r="I119" s="152"/>
      <c r="J119" s="149"/>
      <c r="K119" s="306" t="s">
        <v>291</v>
      </c>
      <c r="L119" s="306"/>
      <c r="M119" s="154">
        <f>ข้าราชการ!I27</f>
        <v>0</v>
      </c>
      <c r="N119" s="154"/>
      <c r="O119" s="155"/>
      <c r="P119" s="150" t="s">
        <v>55</v>
      </c>
      <c r="Q119" s="156">
        <f>ข้าราชการ!R186</f>
        <v>0</v>
      </c>
      <c r="R119" s="165"/>
    </row>
    <row r="120" spans="1:18" ht="17.100000000000001" customHeight="1" x14ac:dyDescent="0.2">
      <c r="A120" s="149"/>
      <c r="B120" s="306" t="s">
        <v>119</v>
      </c>
      <c r="C120" s="306"/>
      <c r="D120" s="154">
        <f>ข้าราชการ!J13</f>
        <v>0</v>
      </c>
      <c r="E120" s="154"/>
      <c r="F120" s="155"/>
      <c r="G120" s="153" t="s">
        <v>137</v>
      </c>
      <c r="H120" s="156">
        <f>ข้าราชการ!S184</f>
        <v>0</v>
      </c>
      <c r="I120" s="152"/>
      <c r="J120" s="149"/>
      <c r="K120" s="306" t="s">
        <v>119</v>
      </c>
      <c r="L120" s="306"/>
      <c r="M120" s="154">
        <f>ข้าราชการ!J27</f>
        <v>0</v>
      </c>
      <c r="N120" s="154"/>
      <c r="O120" s="155"/>
      <c r="P120" s="153" t="s">
        <v>137</v>
      </c>
      <c r="Q120" s="156">
        <f>ข้าราชการ!AB142</f>
        <v>0</v>
      </c>
      <c r="R120" s="165"/>
    </row>
    <row r="121" spans="1:18" ht="17.100000000000001" customHeight="1" x14ac:dyDescent="0.2">
      <c r="A121" s="149"/>
      <c r="B121" s="306" t="s">
        <v>5</v>
      </c>
      <c r="C121" s="306"/>
      <c r="D121" s="154">
        <f>ข้าราชการ!K13</f>
        <v>0</v>
      </c>
      <c r="E121" s="154"/>
      <c r="F121" s="155"/>
      <c r="G121" s="150" t="s">
        <v>56</v>
      </c>
      <c r="H121" s="156">
        <f>ข้าราชการ!T184</f>
        <v>0</v>
      </c>
      <c r="I121" s="152"/>
      <c r="J121" s="149"/>
      <c r="K121" s="306" t="s">
        <v>5</v>
      </c>
      <c r="L121" s="306"/>
      <c r="M121" s="154">
        <f>ข้าราชการ!K27</f>
        <v>0</v>
      </c>
      <c r="N121" s="154"/>
      <c r="O121" s="155"/>
      <c r="P121" s="150" t="s">
        <v>56</v>
      </c>
      <c r="Q121" s="156">
        <f>ข้าราชการ!T27</f>
        <v>0</v>
      </c>
      <c r="R121" s="165"/>
    </row>
    <row r="122" spans="1:18" ht="17.100000000000001" customHeight="1" x14ac:dyDescent="0.2">
      <c r="A122" s="149"/>
      <c r="B122" s="150" t="s">
        <v>6</v>
      </c>
      <c r="C122" s="150"/>
      <c r="D122" s="154">
        <f>ลจ.ประจำ!L95</f>
        <v>0</v>
      </c>
      <c r="E122" s="154"/>
      <c r="F122" s="155"/>
      <c r="G122" s="150" t="s">
        <v>57</v>
      </c>
      <c r="H122" s="156">
        <f>ข้าราชการ!U184</f>
        <v>0</v>
      </c>
      <c r="I122" s="152"/>
      <c r="J122" s="149"/>
      <c r="K122" s="150" t="s">
        <v>6</v>
      </c>
      <c r="L122" s="150"/>
      <c r="M122" s="154">
        <f>ข้าราชการ!L27</f>
        <v>0</v>
      </c>
      <c r="N122" s="154"/>
      <c r="O122" s="155"/>
      <c r="P122" s="150" t="s">
        <v>57</v>
      </c>
      <c r="Q122" s="156">
        <f>ข้าราชการ!U27</f>
        <v>0</v>
      </c>
      <c r="R122" s="165"/>
    </row>
    <row r="123" spans="1:18" ht="17.100000000000001" customHeight="1" x14ac:dyDescent="0.2">
      <c r="A123" s="149"/>
      <c r="B123" s="306" t="s">
        <v>7</v>
      </c>
      <c r="C123" s="306"/>
      <c r="D123" s="154">
        <f>ข้าราชการ!M13</f>
        <v>0</v>
      </c>
      <c r="E123" s="154"/>
      <c r="F123" s="155"/>
      <c r="G123" s="150"/>
      <c r="H123" s="154"/>
      <c r="I123" s="152"/>
      <c r="J123" s="149"/>
      <c r="K123" s="306" t="s">
        <v>7</v>
      </c>
      <c r="L123" s="306"/>
      <c r="M123" s="154">
        <f>ข้าราชการ!M27</f>
        <v>0</v>
      </c>
      <c r="N123" s="154"/>
      <c r="O123" s="155"/>
      <c r="P123" s="150"/>
      <c r="Q123" s="154"/>
      <c r="R123" s="164"/>
    </row>
    <row r="124" spans="1:18" ht="17.100000000000001" customHeight="1" x14ac:dyDescent="0.2">
      <c r="A124" s="149"/>
      <c r="B124" s="307" t="s">
        <v>101</v>
      </c>
      <c r="C124" s="307"/>
      <c r="D124" s="154">
        <f>SUM(D115:D123)</f>
        <v>0</v>
      </c>
      <c r="E124" s="157"/>
      <c r="F124" s="157"/>
      <c r="G124" s="147" t="s">
        <v>102</v>
      </c>
      <c r="H124" s="157">
        <f>SUM(H115:H123)</f>
        <v>0</v>
      </c>
      <c r="I124" s="152"/>
      <c r="J124" s="149"/>
      <c r="K124" s="307" t="s">
        <v>101</v>
      </c>
      <c r="L124" s="307"/>
      <c r="M124" s="157">
        <f>SUM(M115:M123)</f>
        <v>0</v>
      </c>
      <c r="N124" s="157"/>
      <c r="O124" s="157"/>
      <c r="P124" s="147" t="s">
        <v>102</v>
      </c>
      <c r="Q124" s="157">
        <f>SUM(Q115:Q123)</f>
        <v>0</v>
      </c>
      <c r="R124" s="166"/>
    </row>
    <row r="125" spans="1:18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  <c r="J125" s="149"/>
      <c r="K125" s="150"/>
      <c r="L125" s="147" t="s">
        <v>103</v>
      </c>
      <c r="M125" s="157">
        <f>M124-Q124</f>
        <v>0</v>
      </c>
      <c r="N125" s="157"/>
      <c r="O125" s="158" t="s">
        <v>104</v>
      </c>
      <c r="Q125" s="150"/>
      <c r="R125" s="163"/>
    </row>
    <row r="126" spans="1:18" ht="17.100000000000001" customHeight="1" x14ac:dyDescent="0.2">
      <c r="A126" s="149"/>
      <c r="B126" s="150"/>
      <c r="C126" s="307" t="str">
        <f>"("&amp;BAHTTEXT(D125)&amp;")"</f>
        <v>(ศูนย์บาทถ้วน)</v>
      </c>
      <c r="D126" s="307"/>
      <c r="E126" s="307"/>
      <c r="F126" s="307"/>
      <c r="G126" s="307"/>
      <c r="H126" s="150"/>
      <c r="I126" s="152"/>
      <c r="J126" s="149"/>
      <c r="K126" s="150"/>
      <c r="L126" s="307" t="str">
        <f>"("&amp;BAHTTEXT(M125)&amp;")"</f>
        <v>(ศูนย์บาทถ้วน)</v>
      </c>
      <c r="M126" s="307"/>
      <c r="N126" s="307"/>
      <c r="O126" s="307"/>
      <c r="P126" s="307"/>
      <c r="Q126" s="150"/>
      <c r="R126" s="163"/>
    </row>
    <row r="127" spans="1:18" ht="17.100000000000001" customHeight="1" x14ac:dyDescent="0.2">
      <c r="A127" s="149"/>
      <c r="B127" s="150"/>
      <c r="C127" s="147"/>
      <c r="D127" s="147"/>
      <c r="E127" s="147"/>
      <c r="F127" s="147"/>
      <c r="G127" s="147"/>
      <c r="H127" s="150"/>
      <c r="I127" s="152"/>
      <c r="J127" s="149"/>
      <c r="K127" s="150"/>
      <c r="L127" s="147"/>
      <c r="M127" s="147"/>
      <c r="N127" s="147"/>
      <c r="O127" s="147"/>
      <c r="P127" s="147"/>
      <c r="Q127" s="150"/>
      <c r="R127" s="163"/>
    </row>
    <row r="128" spans="1:18" ht="17.100000000000001" customHeight="1" x14ac:dyDescent="0.2">
      <c r="A128" s="149"/>
      <c r="B128" s="150"/>
      <c r="C128" s="150"/>
      <c r="D128" s="150"/>
      <c r="E128" s="150"/>
      <c r="F128" s="150"/>
      <c r="G128" s="150"/>
      <c r="H128" s="150"/>
      <c r="I128" s="152"/>
      <c r="J128" s="149"/>
      <c r="K128" s="150"/>
      <c r="L128" s="150"/>
      <c r="M128" s="150"/>
      <c r="N128" s="150"/>
      <c r="O128" s="150"/>
      <c r="P128" s="150"/>
      <c r="Q128" s="150"/>
      <c r="R128" s="163"/>
    </row>
    <row r="129" spans="1:18" ht="17.100000000000001" customHeight="1" x14ac:dyDescent="0.2">
      <c r="A129" s="149"/>
      <c r="I129" s="152"/>
      <c r="J129" s="149"/>
      <c r="R129" s="152"/>
    </row>
    <row r="130" spans="1:18" ht="17.100000000000001" customHeight="1" x14ac:dyDescent="0.2">
      <c r="A130" s="149"/>
      <c r="I130" s="152"/>
      <c r="J130" s="149"/>
      <c r="R130" s="148"/>
    </row>
    <row r="131" spans="1:18" ht="17.100000000000001" customHeight="1" x14ac:dyDescent="0.2">
      <c r="A131" s="308" t="s">
        <v>315</v>
      </c>
      <c r="B131" s="307"/>
      <c r="C131" s="307"/>
      <c r="D131" s="307"/>
      <c r="E131" s="307"/>
      <c r="F131" s="307"/>
      <c r="G131" s="307"/>
      <c r="H131" s="307"/>
      <c r="I131" s="309"/>
      <c r="J131" s="149"/>
      <c r="K131" s="307" t="s">
        <v>315</v>
      </c>
      <c r="L131" s="307"/>
      <c r="M131" s="307"/>
      <c r="N131" s="307"/>
      <c r="O131" s="307"/>
      <c r="P131" s="307"/>
      <c r="Q131" s="307"/>
      <c r="R131" s="148"/>
    </row>
    <row r="132" spans="1:18" ht="17.100000000000001" customHeight="1" x14ac:dyDescent="0.2">
      <c r="A132" s="310" t="s">
        <v>298</v>
      </c>
      <c r="B132" s="311"/>
      <c r="C132" s="311"/>
      <c r="D132" s="311"/>
      <c r="E132" s="311"/>
      <c r="F132" s="311"/>
      <c r="G132" s="311"/>
      <c r="H132" s="311"/>
      <c r="I132" s="312"/>
      <c r="J132" s="161"/>
      <c r="K132" s="311" t="s">
        <v>298</v>
      </c>
      <c r="L132" s="311"/>
      <c r="M132" s="311"/>
      <c r="N132" s="311"/>
      <c r="O132" s="311"/>
      <c r="P132" s="311"/>
      <c r="Q132" s="311"/>
      <c r="R132" s="160"/>
    </row>
    <row r="133" spans="1:18" ht="17.100000000000001" customHeight="1" x14ac:dyDescent="0.2">
      <c r="A133" s="313" t="str">
        <f>ขร1!A89</f>
        <v>โรงพยาบาลสามโคก  ประจำเดือน  พฤศจิกายน  2568</v>
      </c>
      <c r="B133" s="314"/>
      <c r="C133" s="314"/>
      <c r="D133" s="314"/>
      <c r="E133" s="314"/>
      <c r="F133" s="314"/>
      <c r="G133" s="314"/>
      <c r="H133" s="314"/>
      <c r="I133" s="315"/>
      <c r="J133" s="313" t="str">
        <f>A1</f>
        <v>โรงพยาบาลสามโคก  ประจำเดือน  พฤศจิกายน  2568</v>
      </c>
      <c r="K133" s="314"/>
      <c r="L133" s="314"/>
      <c r="M133" s="314"/>
      <c r="N133" s="314"/>
      <c r="O133" s="314"/>
      <c r="P133" s="314"/>
      <c r="Q133" s="314"/>
      <c r="R133" s="315"/>
    </row>
    <row r="134" spans="1:18" ht="17.100000000000001" customHeight="1" x14ac:dyDescent="0.2">
      <c r="A134" s="308" t="s">
        <v>266</v>
      </c>
      <c r="B134" s="307"/>
      <c r="C134" s="307"/>
      <c r="D134" s="307"/>
      <c r="E134" s="307"/>
      <c r="F134" s="307"/>
      <c r="G134" s="307"/>
      <c r="H134" s="307"/>
      <c r="I134" s="309"/>
      <c r="J134" s="308" t="s">
        <v>246</v>
      </c>
      <c r="K134" s="307"/>
      <c r="L134" s="307"/>
      <c r="M134" s="307"/>
      <c r="N134" s="307"/>
      <c r="O134" s="307"/>
      <c r="P134" s="307"/>
      <c r="Q134" s="307"/>
      <c r="R134" s="309"/>
    </row>
    <row r="135" spans="1:18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  <c r="J135" s="149"/>
      <c r="K135" s="153"/>
      <c r="L135" s="150"/>
      <c r="M135" s="147"/>
      <c r="N135" s="147"/>
      <c r="O135" s="147"/>
      <c r="P135" s="150"/>
      <c r="Q135" s="150"/>
      <c r="R135" s="163"/>
    </row>
    <row r="136" spans="1:18" ht="17.100000000000001" customHeight="1" x14ac:dyDescent="0.2">
      <c r="A136" s="149"/>
      <c r="B136" s="307" t="s">
        <v>9</v>
      </c>
      <c r="C136" s="307"/>
      <c r="D136" s="307"/>
      <c r="E136" s="147"/>
      <c r="F136" s="147"/>
      <c r="G136" s="307" t="s">
        <v>10</v>
      </c>
      <c r="H136" s="307"/>
      <c r="I136" s="152"/>
      <c r="J136" s="149"/>
      <c r="K136" s="307" t="s">
        <v>9</v>
      </c>
      <c r="L136" s="307"/>
      <c r="M136" s="307"/>
      <c r="N136" s="147"/>
      <c r="O136" s="147"/>
      <c r="P136" s="307" t="s">
        <v>10</v>
      </c>
      <c r="Q136" s="307"/>
      <c r="R136" s="148"/>
    </row>
    <row r="137" spans="1:18" ht="17.100000000000001" customHeight="1" x14ac:dyDescent="0.2">
      <c r="A137" s="149"/>
      <c r="B137" s="306" t="s">
        <v>3</v>
      </c>
      <c r="C137" s="306"/>
      <c r="D137" s="154">
        <f>ข้าราชการ!E32</f>
        <v>0</v>
      </c>
      <c r="E137" s="154"/>
      <c r="F137" s="155"/>
      <c r="G137" s="150" t="s">
        <v>99</v>
      </c>
      <c r="H137" s="154">
        <f>ข้าราชการ!N32</f>
        <v>0</v>
      </c>
      <c r="I137" s="152"/>
      <c r="J137" s="149"/>
      <c r="K137" s="306" t="s">
        <v>3</v>
      </c>
      <c r="L137" s="306"/>
      <c r="M137" s="154">
        <f>ข้าราชการ!E28</f>
        <v>0</v>
      </c>
      <c r="N137" s="154"/>
      <c r="O137" s="155"/>
      <c r="P137" s="150" t="s">
        <v>99</v>
      </c>
      <c r="Q137" s="154" t="s">
        <v>199</v>
      </c>
      <c r="R137" s="164"/>
    </row>
    <row r="138" spans="1:18" ht="17.100000000000001" customHeight="1" x14ac:dyDescent="0.2">
      <c r="A138" s="149"/>
      <c r="B138" s="306" t="s">
        <v>106</v>
      </c>
      <c r="C138" s="306"/>
      <c r="D138" s="154">
        <f>ข้าราชการ!F32</f>
        <v>0</v>
      </c>
      <c r="E138" s="154"/>
      <c r="F138" s="155"/>
      <c r="G138" s="150" t="s">
        <v>53</v>
      </c>
      <c r="H138" s="154">
        <f>ข้าราชการ!O32</f>
        <v>0</v>
      </c>
      <c r="I138" s="152"/>
      <c r="J138" s="149"/>
      <c r="K138" s="306" t="s">
        <v>106</v>
      </c>
      <c r="L138" s="306"/>
      <c r="M138" s="154">
        <v>0</v>
      </c>
      <c r="N138" s="154"/>
      <c r="O138" s="155"/>
      <c r="P138" s="150" t="s">
        <v>53</v>
      </c>
      <c r="Q138" s="154">
        <f>ข้าราชการ!O163</f>
        <v>0</v>
      </c>
      <c r="R138" s="164"/>
    </row>
    <row r="139" spans="1:18" ht="17.100000000000001" customHeight="1" x14ac:dyDescent="0.2">
      <c r="A139" s="149"/>
      <c r="B139" s="306" t="s">
        <v>107</v>
      </c>
      <c r="C139" s="306"/>
      <c r="D139" s="154">
        <f>ข้าราชการ!G32</f>
        <v>0</v>
      </c>
      <c r="E139" s="154"/>
      <c r="F139" s="155"/>
      <c r="G139" s="150" t="s">
        <v>54</v>
      </c>
      <c r="H139" s="154">
        <f>ข้าราชการ!P32</f>
        <v>0</v>
      </c>
      <c r="I139" s="152"/>
      <c r="J139" s="149"/>
      <c r="K139" s="306" t="s">
        <v>140</v>
      </c>
      <c r="L139" s="306"/>
      <c r="M139" s="154">
        <f>ข้าราชการ!G28</f>
        <v>0</v>
      </c>
      <c r="N139" s="154"/>
      <c r="O139" s="155"/>
      <c r="P139" s="150" t="s">
        <v>54</v>
      </c>
      <c r="Q139" s="154">
        <f>ข้าราชการ!P163</f>
        <v>0</v>
      </c>
      <c r="R139" s="164"/>
    </row>
    <row r="140" spans="1:18" ht="17.100000000000001" customHeight="1" x14ac:dyDescent="0.2">
      <c r="A140" s="149"/>
      <c r="B140" s="306" t="s">
        <v>130</v>
      </c>
      <c r="C140" s="306"/>
      <c r="D140" s="154">
        <v>0</v>
      </c>
      <c r="E140" s="154"/>
      <c r="F140" s="155"/>
      <c r="G140" s="150" t="s">
        <v>100</v>
      </c>
      <c r="H140" s="154">
        <f>ข้าราชการ!Q32</f>
        <v>0</v>
      </c>
      <c r="I140" s="152"/>
      <c r="J140" s="149"/>
      <c r="K140" s="306" t="s">
        <v>130</v>
      </c>
      <c r="L140" s="306"/>
      <c r="M140" s="154">
        <f>ข้าราชการ!H28</f>
        <v>0</v>
      </c>
      <c r="N140" s="154"/>
      <c r="O140" s="155"/>
      <c r="P140" s="150" t="s">
        <v>100</v>
      </c>
      <c r="Q140" s="154">
        <f>ข้าราชการ!Q163</f>
        <v>0</v>
      </c>
      <c r="R140" s="164"/>
    </row>
    <row r="141" spans="1:18" ht="17.100000000000001" customHeight="1" x14ac:dyDescent="0.2">
      <c r="A141" s="149"/>
      <c r="B141" s="306" t="s">
        <v>291</v>
      </c>
      <c r="C141" s="306"/>
      <c r="D141" s="154">
        <f>ข้าราชการ!I14</f>
        <v>0</v>
      </c>
      <c r="E141" s="154"/>
      <c r="F141" s="155"/>
      <c r="G141" s="150" t="s">
        <v>55</v>
      </c>
      <c r="H141" s="156">
        <v>0</v>
      </c>
      <c r="I141" s="152"/>
      <c r="J141" s="149"/>
      <c r="K141" s="306" t="s">
        <v>291</v>
      </c>
      <c r="L141" s="306"/>
      <c r="M141" s="154">
        <f>ข้าราชการ!I28</f>
        <v>0</v>
      </c>
      <c r="N141" s="154"/>
      <c r="O141" s="155"/>
      <c r="P141" s="150" t="s">
        <v>55</v>
      </c>
      <c r="Q141" s="156">
        <f>ข้าราชการ!R163</f>
        <v>0</v>
      </c>
      <c r="R141" s="165"/>
    </row>
    <row r="142" spans="1:18" ht="17.100000000000001" customHeight="1" x14ac:dyDescent="0.2">
      <c r="A142" s="149"/>
      <c r="B142" s="306" t="s">
        <v>119</v>
      </c>
      <c r="C142" s="306"/>
      <c r="D142" s="154">
        <f>ข้าราชการ!J14</f>
        <v>0</v>
      </c>
      <c r="E142" s="154"/>
      <c r="F142" s="155"/>
      <c r="G142" s="153" t="s">
        <v>137</v>
      </c>
      <c r="H142" s="156">
        <v>0</v>
      </c>
      <c r="I142" s="152"/>
      <c r="J142" s="149"/>
      <c r="K142" s="306" t="s">
        <v>119</v>
      </c>
      <c r="L142" s="306"/>
      <c r="M142" s="154">
        <f>ข้าราชการ!J28</f>
        <v>0</v>
      </c>
      <c r="N142" s="154"/>
      <c r="O142" s="155"/>
      <c r="P142" s="153" t="s">
        <v>137</v>
      </c>
      <c r="Q142" s="156">
        <f>ข้าราชการ!AB119</f>
        <v>0</v>
      </c>
      <c r="R142" s="165"/>
    </row>
    <row r="143" spans="1:18" ht="17.100000000000001" customHeight="1" x14ac:dyDescent="0.2">
      <c r="A143" s="149"/>
      <c r="B143" s="306" t="s">
        <v>5</v>
      </c>
      <c r="C143" s="306"/>
      <c r="D143" s="154">
        <f>ข้าราชการ!K14</f>
        <v>0</v>
      </c>
      <c r="E143" s="154"/>
      <c r="F143" s="155"/>
      <c r="G143" s="150" t="s">
        <v>56</v>
      </c>
      <c r="H143" s="156">
        <f>ข้าราชการ!T14</f>
        <v>0</v>
      </c>
      <c r="I143" s="152"/>
      <c r="J143" s="149"/>
      <c r="K143" s="306" t="s">
        <v>5</v>
      </c>
      <c r="L143" s="306"/>
      <c r="M143" s="154">
        <f>ข้าราชการ!K28</f>
        <v>0</v>
      </c>
      <c r="N143" s="154"/>
      <c r="O143" s="155"/>
      <c r="P143" s="150" t="s">
        <v>56</v>
      </c>
      <c r="Q143" s="156">
        <f>ข้าราชการ!T28</f>
        <v>0</v>
      </c>
      <c r="R143" s="165"/>
    </row>
    <row r="144" spans="1:18" ht="17.100000000000001" customHeight="1" x14ac:dyDescent="0.2">
      <c r="A144" s="149"/>
      <c r="B144" s="150" t="s">
        <v>6</v>
      </c>
      <c r="C144" s="150"/>
      <c r="D144" s="154">
        <f>ข้าราชการ!L32</f>
        <v>0</v>
      </c>
      <c r="E144" s="154"/>
      <c r="F144" s="155"/>
      <c r="G144" s="150" t="s">
        <v>57</v>
      </c>
      <c r="H144" s="156">
        <f>ข้าราชการ!U14</f>
        <v>0</v>
      </c>
      <c r="I144" s="152"/>
      <c r="J144" s="149"/>
      <c r="K144" s="150" t="s">
        <v>6</v>
      </c>
      <c r="L144" s="150"/>
      <c r="M144" s="154">
        <v>0</v>
      </c>
      <c r="N144" s="154"/>
      <c r="O144" s="155"/>
      <c r="P144" s="150" t="s">
        <v>57</v>
      </c>
      <c r="Q144" s="156">
        <f>ข้าราชการ!U28</f>
        <v>0</v>
      </c>
      <c r="R144" s="165"/>
    </row>
    <row r="145" spans="1:18" ht="17.100000000000001" customHeight="1" x14ac:dyDescent="0.2">
      <c r="A145" s="149"/>
      <c r="B145" s="306" t="s">
        <v>7</v>
      </c>
      <c r="C145" s="306"/>
      <c r="D145" s="154">
        <v>0</v>
      </c>
      <c r="E145" s="154"/>
      <c r="F145" s="155"/>
      <c r="G145" s="150"/>
      <c r="H145" s="154"/>
      <c r="I145" s="152"/>
      <c r="J145" s="149"/>
      <c r="K145" s="306" t="s">
        <v>7</v>
      </c>
      <c r="L145" s="306"/>
      <c r="M145" s="154">
        <f>ข้าราชการ!M28</f>
        <v>0</v>
      </c>
      <c r="N145" s="154"/>
      <c r="O145" s="155"/>
      <c r="P145" s="150"/>
      <c r="Q145" s="154"/>
      <c r="R145" s="164"/>
    </row>
    <row r="146" spans="1:18" ht="17.100000000000001" customHeight="1" x14ac:dyDescent="0.2">
      <c r="A146" s="149"/>
      <c r="B146" s="307" t="s">
        <v>101</v>
      </c>
      <c r="C146" s="307"/>
      <c r="D146" s="157">
        <f>SUM(D137:D145)</f>
        <v>0</v>
      </c>
      <c r="E146" s="157"/>
      <c r="F146" s="157"/>
      <c r="G146" s="147" t="s">
        <v>102</v>
      </c>
      <c r="H146" s="157">
        <f>SUM(H137:H145)</f>
        <v>0</v>
      </c>
      <c r="I146" s="152"/>
      <c r="J146" s="149"/>
      <c r="K146" s="307" t="s">
        <v>101</v>
      </c>
      <c r="L146" s="307"/>
      <c r="M146" s="157">
        <f>SUM(M137:M145)</f>
        <v>0</v>
      </c>
      <c r="N146" s="157"/>
      <c r="O146" s="157"/>
      <c r="P146" s="147" t="s">
        <v>102</v>
      </c>
      <c r="Q146" s="157">
        <f>SUM(Q137:Q145)</f>
        <v>0</v>
      </c>
      <c r="R146" s="166"/>
    </row>
    <row r="147" spans="1:18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  <c r="J147" s="149"/>
      <c r="K147" s="150"/>
      <c r="L147" s="147" t="s">
        <v>103</v>
      </c>
      <c r="M147" s="157">
        <f>M146-Q146</f>
        <v>0</v>
      </c>
      <c r="N147" s="157"/>
      <c r="O147" s="158" t="s">
        <v>104</v>
      </c>
      <c r="Q147" s="150"/>
      <c r="R147" s="163"/>
    </row>
    <row r="148" spans="1:18" ht="17.100000000000001" customHeight="1" x14ac:dyDescent="0.2">
      <c r="A148" s="149"/>
      <c r="B148" s="150"/>
      <c r="C148" s="307" t="str">
        <f>"("&amp;BAHTTEXT(D147)&amp;")"</f>
        <v>(ศูนย์บาทถ้วน)</v>
      </c>
      <c r="D148" s="307"/>
      <c r="E148" s="307"/>
      <c r="F148" s="307"/>
      <c r="G148" s="307"/>
      <c r="H148" s="150"/>
      <c r="I148" s="152"/>
      <c r="J148" s="149"/>
      <c r="K148" s="150"/>
      <c r="L148" s="307" t="str">
        <f>"("&amp;BAHTTEXT(M147)&amp;")"</f>
        <v>(ศูนย์บาทถ้วน)</v>
      </c>
      <c r="M148" s="307"/>
      <c r="N148" s="307"/>
      <c r="O148" s="307"/>
      <c r="P148" s="307"/>
      <c r="Q148" s="150"/>
      <c r="R148" s="163"/>
    </row>
    <row r="149" spans="1:18" ht="17.100000000000001" customHeight="1" x14ac:dyDescent="0.2">
      <c r="A149" s="149"/>
      <c r="B149" s="150"/>
      <c r="C149" s="147"/>
      <c r="D149" s="147"/>
      <c r="E149" s="147"/>
      <c r="F149" s="147"/>
      <c r="G149" s="147"/>
      <c r="H149" s="150"/>
      <c r="I149" s="152"/>
      <c r="J149" s="149"/>
      <c r="K149" s="150"/>
      <c r="L149" s="147"/>
      <c r="M149" s="147"/>
      <c r="N149" s="147"/>
      <c r="O149" s="147"/>
      <c r="P149" s="147"/>
      <c r="Q149" s="150"/>
      <c r="R149" s="163"/>
    </row>
    <row r="150" spans="1:18" ht="17.100000000000001" customHeight="1" x14ac:dyDescent="0.2">
      <c r="A150" s="149"/>
      <c r="B150" s="150"/>
      <c r="C150" s="150"/>
      <c r="D150" s="150"/>
      <c r="E150" s="150"/>
      <c r="F150" s="150"/>
      <c r="G150" s="150"/>
      <c r="H150" s="150"/>
      <c r="I150" s="152"/>
      <c r="J150" s="149"/>
      <c r="K150" s="150"/>
      <c r="L150" s="150"/>
      <c r="M150" s="150"/>
      <c r="N150" s="150"/>
      <c r="O150" s="150"/>
      <c r="P150" s="150"/>
      <c r="Q150" s="150"/>
      <c r="R150" s="163"/>
    </row>
    <row r="151" spans="1:18" ht="17.100000000000001" customHeight="1" x14ac:dyDescent="0.2">
      <c r="A151" s="149"/>
      <c r="I151" s="152"/>
      <c r="J151" s="149"/>
      <c r="R151" s="152"/>
    </row>
    <row r="152" spans="1:18" ht="17.100000000000001" customHeight="1" x14ac:dyDescent="0.2">
      <c r="A152" s="149"/>
      <c r="I152" s="152"/>
      <c r="J152" s="149"/>
      <c r="R152" s="148"/>
    </row>
    <row r="153" spans="1:18" ht="17.100000000000001" customHeight="1" x14ac:dyDescent="0.2">
      <c r="A153" s="308" t="s">
        <v>315</v>
      </c>
      <c r="B153" s="307"/>
      <c r="C153" s="307"/>
      <c r="D153" s="307"/>
      <c r="E153" s="307"/>
      <c r="F153" s="307"/>
      <c r="G153" s="307"/>
      <c r="H153" s="307"/>
      <c r="I153" s="309"/>
      <c r="J153" s="149"/>
      <c r="K153" s="307" t="s">
        <v>315</v>
      </c>
      <c r="L153" s="307"/>
      <c r="M153" s="307"/>
      <c r="N153" s="307"/>
      <c r="O153" s="307"/>
      <c r="P153" s="307"/>
      <c r="Q153" s="307"/>
      <c r="R153" s="148"/>
    </row>
    <row r="154" spans="1:18" ht="17.100000000000001" customHeight="1" x14ac:dyDescent="0.2">
      <c r="A154" s="310" t="s">
        <v>298</v>
      </c>
      <c r="B154" s="311"/>
      <c r="C154" s="311"/>
      <c r="D154" s="311"/>
      <c r="E154" s="311"/>
      <c r="F154" s="311"/>
      <c r="G154" s="311"/>
      <c r="H154" s="311"/>
      <c r="I154" s="312"/>
      <c r="J154" s="161"/>
      <c r="K154" s="311" t="s">
        <v>298</v>
      </c>
      <c r="L154" s="311"/>
      <c r="M154" s="311"/>
      <c r="N154" s="311"/>
      <c r="O154" s="311"/>
      <c r="P154" s="311"/>
      <c r="Q154" s="311"/>
      <c r="R154" s="160"/>
    </row>
    <row r="155" spans="1:18" ht="17.100000000000001" customHeight="1" x14ac:dyDescent="0.2">
      <c r="A155" s="313" t="str">
        <f>A1</f>
        <v>โรงพยาบาลสามโคก  ประจำเดือน  พฤศจิกายน  2568</v>
      </c>
      <c r="B155" s="314"/>
      <c r="C155" s="314"/>
      <c r="D155" s="314"/>
      <c r="E155" s="314"/>
      <c r="F155" s="314"/>
      <c r="G155" s="314"/>
      <c r="H155" s="314"/>
      <c r="I155" s="315"/>
      <c r="J155" s="313" t="str">
        <f>A1</f>
        <v>โรงพยาบาลสามโคก  ประจำเดือน  พฤศจิกายน  2568</v>
      </c>
      <c r="K155" s="314"/>
      <c r="L155" s="314"/>
      <c r="M155" s="314"/>
      <c r="N155" s="314"/>
      <c r="O155" s="314"/>
      <c r="P155" s="314"/>
      <c r="Q155" s="314"/>
      <c r="R155" s="315"/>
    </row>
    <row r="156" spans="1:18" ht="17.100000000000001" customHeight="1" x14ac:dyDescent="0.2">
      <c r="A156" s="308" t="s">
        <v>241</v>
      </c>
      <c r="B156" s="307"/>
      <c r="C156" s="307"/>
      <c r="D156" s="307"/>
      <c r="E156" s="307"/>
      <c r="F156" s="307"/>
      <c r="G156" s="307"/>
      <c r="H156" s="307"/>
      <c r="I156" s="309"/>
      <c r="J156" s="308" t="s">
        <v>247</v>
      </c>
      <c r="K156" s="307"/>
      <c r="L156" s="307"/>
      <c r="M156" s="307"/>
      <c r="N156" s="307"/>
      <c r="O156" s="307"/>
      <c r="P156" s="307"/>
      <c r="Q156" s="307"/>
      <c r="R156" s="309"/>
    </row>
    <row r="157" spans="1:18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  <c r="J157" s="149"/>
      <c r="K157" s="153"/>
      <c r="L157" s="150"/>
      <c r="M157" s="147"/>
      <c r="N157" s="147"/>
      <c r="O157" s="147"/>
      <c r="P157" s="150"/>
      <c r="Q157" s="150"/>
      <c r="R157" s="152"/>
    </row>
    <row r="158" spans="1:18" ht="17.100000000000001" customHeight="1" x14ac:dyDescent="0.2">
      <c r="A158" s="149"/>
      <c r="B158" s="307" t="s">
        <v>9</v>
      </c>
      <c r="C158" s="307"/>
      <c r="D158" s="307"/>
      <c r="E158" s="147"/>
      <c r="F158" s="147"/>
      <c r="G158" s="147" t="s">
        <v>10</v>
      </c>
      <c r="H158" s="147"/>
      <c r="I158" s="152"/>
      <c r="J158" s="149"/>
      <c r="K158" s="307" t="s">
        <v>9</v>
      </c>
      <c r="L158" s="307"/>
      <c r="M158" s="307"/>
      <c r="N158" s="147"/>
      <c r="O158" s="147"/>
      <c r="P158" s="307" t="s">
        <v>10</v>
      </c>
      <c r="Q158" s="307"/>
      <c r="R158" s="152"/>
    </row>
    <row r="159" spans="1:18" ht="17.100000000000001" customHeight="1" x14ac:dyDescent="0.2">
      <c r="A159" s="149"/>
      <c r="B159" s="150" t="s">
        <v>3</v>
      </c>
      <c r="C159" s="150"/>
      <c r="D159" s="154">
        <f>ข้าราชการ!E15</f>
        <v>0</v>
      </c>
      <c r="E159" s="154"/>
      <c r="F159" s="155"/>
      <c r="G159" s="150" t="s">
        <v>99</v>
      </c>
      <c r="H159" s="154">
        <f>ข้าราชการ!N15</f>
        <v>0</v>
      </c>
      <c r="I159" s="152"/>
      <c r="J159" s="149"/>
      <c r="K159" s="306" t="s">
        <v>3</v>
      </c>
      <c r="L159" s="306"/>
      <c r="M159" s="154">
        <f>ข้าราชการ!N183</f>
        <v>0</v>
      </c>
      <c r="N159" s="154"/>
      <c r="O159" s="155"/>
      <c r="P159" s="150" t="s">
        <v>99</v>
      </c>
      <c r="Q159" s="154">
        <v>0</v>
      </c>
      <c r="R159" s="152"/>
    </row>
    <row r="160" spans="1:18" ht="17.100000000000001" customHeight="1" x14ac:dyDescent="0.2">
      <c r="A160" s="149"/>
      <c r="B160" s="150" t="s">
        <v>106</v>
      </c>
      <c r="C160" s="150"/>
      <c r="D160" s="154">
        <f>ข้าราชการ!F15</f>
        <v>0</v>
      </c>
      <c r="E160" s="154"/>
      <c r="F160" s="155"/>
      <c r="G160" s="150" t="s">
        <v>53</v>
      </c>
      <c r="H160" s="154">
        <f>ข้าราชการ!O15</f>
        <v>0</v>
      </c>
      <c r="I160" s="152"/>
      <c r="J160" s="149"/>
      <c r="K160" s="306" t="s">
        <v>106</v>
      </c>
      <c r="L160" s="306"/>
      <c r="M160" s="154">
        <v>0</v>
      </c>
      <c r="N160" s="154"/>
      <c r="O160" s="155"/>
      <c r="P160" s="150" t="s">
        <v>53</v>
      </c>
      <c r="Q160" s="154">
        <v>0</v>
      </c>
      <c r="R160" s="152"/>
    </row>
    <row r="161" spans="1:18" ht="17.100000000000001" customHeight="1" x14ac:dyDescent="0.2">
      <c r="A161" s="149"/>
      <c r="B161" s="306" t="s">
        <v>140</v>
      </c>
      <c r="C161" s="306"/>
      <c r="D161" s="154">
        <f>ข้าราชการ!G15</f>
        <v>0</v>
      </c>
      <c r="E161" s="154"/>
      <c r="F161" s="155"/>
      <c r="G161" s="150" t="s">
        <v>54</v>
      </c>
      <c r="H161" s="154">
        <f>ข้าราชการ!P15</f>
        <v>0</v>
      </c>
      <c r="I161" s="152"/>
      <c r="J161" s="149"/>
      <c r="K161" s="306" t="s">
        <v>107</v>
      </c>
      <c r="L161" s="306"/>
      <c r="M161" s="154">
        <v>0</v>
      </c>
      <c r="N161" s="154"/>
      <c r="O161" s="155"/>
      <c r="P161" s="150" t="s">
        <v>54</v>
      </c>
      <c r="Q161" s="154">
        <v>0</v>
      </c>
      <c r="R161" s="152"/>
    </row>
    <row r="162" spans="1:18" ht="17.100000000000001" customHeight="1" x14ac:dyDescent="0.2">
      <c r="A162" s="149"/>
      <c r="B162" s="306" t="s">
        <v>130</v>
      </c>
      <c r="C162" s="306"/>
      <c r="D162" s="154">
        <f>ข้าราชการ!H15</f>
        <v>0</v>
      </c>
      <c r="E162" s="154"/>
      <c r="F162" s="155"/>
      <c r="G162" s="150" t="s">
        <v>100</v>
      </c>
      <c r="H162" s="154">
        <f>ข้าราชการ!Q15</f>
        <v>0</v>
      </c>
      <c r="I162" s="152"/>
      <c r="J162" s="149"/>
      <c r="K162" s="306" t="s">
        <v>130</v>
      </c>
      <c r="L162" s="306"/>
      <c r="M162" s="154">
        <f>ข้าราชการ!H29</f>
        <v>0</v>
      </c>
      <c r="N162" s="154"/>
      <c r="O162" s="155"/>
      <c r="P162" s="150" t="s">
        <v>100</v>
      </c>
      <c r="Q162" s="154">
        <v>0</v>
      </c>
      <c r="R162" s="152"/>
    </row>
    <row r="163" spans="1:18" ht="17.100000000000001" customHeight="1" x14ac:dyDescent="0.2">
      <c r="A163" s="149"/>
      <c r="B163" s="306" t="s">
        <v>291</v>
      </c>
      <c r="C163" s="306"/>
      <c r="D163" s="154">
        <f>ข้าราชการ!I15</f>
        <v>0</v>
      </c>
      <c r="E163" s="154"/>
      <c r="F163" s="155"/>
      <c r="G163" s="150" t="s">
        <v>55</v>
      </c>
      <c r="H163" s="156">
        <f>ข้าราชการ!R15</f>
        <v>0</v>
      </c>
      <c r="I163" s="152"/>
      <c r="J163" s="149"/>
      <c r="K163" s="306" t="s">
        <v>558</v>
      </c>
      <c r="L163" s="306"/>
      <c r="M163" s="154">
        <f>ข้าราชการ!I29</f>
        <v>0</v>
      </c>
      <c r="N163" s="154"/>
      <c r="O163" s="155"/>
      <c r="P163" s="150" t="s">
        <v>55</v>
      </c>
      <c r="Q163" s="156">
        <v>0</v>
      </c>
      <c r="R163" s="152"/>
    </row>
    <row r="164" spans="1:18" ht="17.100000000000001" customHeight="1" x14ac:dyDescent="0.2">
      <c r="A164" s="149"/>
      <c r="B164" s="306" t="s">
        <v>119</v>
      </c>
      <c r="C164" s="306"/>
      <c r="D164" s="154">
        <f>ข้าราชการ!J15</f>
        <v>0</v>
      </c>
      <c r="E164" s="154"/>
      <c r="F164" s="155"/>
      <c r="G164" s="153" t="s">
        <v>137</v>
      </c>
      <c r="H164" s="156">
        <f>ข้าราชการ!S15</f>
        <v>0</v>
      </c>
      <c r="I164" s="152"/>
      <c r="J164" s="149"/>
      <c r="K164" s="306" t="s">
        <v>119</v>
      </c>
      <c r="L164" s="306"/>
      <c r="M164" s="154">
        <f>ข้าราชการ!J29</f>
        <v>0</v>
      </c>
      <c r="N164" s="154"/>
      <c r="O164" s="155"/>
      <c r="P164" s="153" t="s">
        <v>137</v>
      </c>
      <c r="Q164" s="156">
        <v>0</v>
      </c>
      <c r="R164" s="152"/>
    </row>
    <row r="165" spans="1:18" ht="17.100000000000001" customHeight="1" x14ac:dyDescent="0.2">
      <c r="A165" s="149"/>
      <c r="B165" s="306" t="s">
        <v>5</v>
      </c>
      <c r="C165" s="306"/>
      <c r="D165" s="154">
        <f>ข้าราชการ!K15</f>
        <v>0</v>
      </c>
      <c r="E165" s="154"/>
      <c r="F165" s="155"/>
      <c r="G165" s="150" t="s">
        <v>56</v>
      </c>
      <c r="H165" s="156">
        <f>ข้าราชการ!T15</f>
        <v>0</v>
      </c>
      <c r="I165" s="152"/>
      <c r="J165" s="149"/>
      <c r="K165" s="306" t="s">
        <v>5</v>
      </c>
      <c r="L165" s="306"/>
      <c r="M165" s="154">
        <f>ข้าราชการ!K29</f>
        <v>0</v>
      </c>
      <c r="N165" s="154"/>
      <c r="O165" s="155"/>
      <c r="P165" s="150" t="s">
        <v>56</v>
      </c>
      <c r="Q165" s="156">
        <f>ข้าราชการ!T29</f>
        <v>0</v>
      </c>
      <c r="R165" s="152"/>
    </row>
    <row r="166" spans="1:18" ht="17.100000000000001" customHeight="1" x14ac:dyDescent="0.2">
      <c r="A166" s="149"/>
      <c r="B166" s="150" t="s">
        <v>6</v>
      </c>
      <c r="C166" s="150"/>
      <c r="D166" s="154">
        <f>ข้าราชการ!L15</f>
        <v>0</v>
      </c>
      <c r="E166" s="154"/>
      <c r="F166" s="155"/>
      <c r="G166" s="150" t="s">
        <v>57</v>
      </c>
      <c r="H166" s="156">
        <f>ข้าราชการ!U15</f>
        <v>0</v>
      </c>
      <c r="I166" s="152"/>
      <c r="J166" s="149"/>
      <c r="K166" s="150" t="s">
        <v>6</v>
      </c>
      <c r="L166" s="150"/>
      <c r="M166" s="154">
        <f>ข้าราชการ!L29</f>
        <v>0</v>
      </c>
      <c r="N166" s="154"/>
      <c r="O166" s="155"/>
      <c r="P166" s="150" t="s">
        <v>57</v>
      </c>
      <c r="Q166" s="156">
        <f>ข้าราชการ!U29</f>
        <v>0</v>
      </c>
      <c r="R166" s="152"/>
    </row>
    <row r="167" spans="1:18" ht="17.100000000000001" customHeight="1" x14ac:dyDescent="0.2">
      <c r="A167" s="149"/>
      <c r="B167" s="150" t="s">
        <v>7</v>
      </c>
      <c r="C167" s="150"/>
      <c r="D167" s="154">
        <f>ข้าราชการ!M15</f>
        <v>0</v>
      </c>
      <c r="E167" s="154"/>
      <c r="F167" s="155"/>
      <c r="G167" s="150"/>
      <c r="H167" s="154"/>
      <c r="I167" s="152"/>
      <c r="J167" s="149"/>
      <c r="K167" s="306" t="s">
        <v>7</v>
      </c>
      <c r="L167" s="306"/>
      <c r="M167" s="154">
        <f>ข้าราชการ!M29</f>
        <v>0</v>
      </c>
      <c r="N167" s="154"/>
      <c r="O167" s="155"/>
      <c r="P167" s="150"/>
      <c r="Q167" s="154"/>
      <c r="R167" s="152"/>
    </row>
    <row r="168" spans="1:18" ht="17.100000000000001" customHeight="1" x14ac:dyDescent="0.2">
      <c r="A168" s="149"/>
      <c r="B168" s="307" t="s">
        <v>101</v>
      </c>
      <c r="C168" s="307"/>
      <c r="D168" s="154">
        <f>SUM(D159:D167)</f>
        <v>0</v>
      </c>
      <c r="E168" s="154"/>
      <c r="F168" s="157"/>
      <c r="G168" s="147" t="s">
        <v>102</v>
      </c>
      <c r="H168" s="157">
        <f>SUM(H159:H167)</f>
        <v>0</v>
      </c>
      <c r="I168" s="152"/>
      <c r="J168" s="149"/>
      <c r="K168" s="307" t="s">
        <v>101</v>
      </c>
      <c r="L168" s="307"/>
      <c r="M168" s="157">
        <f>SUM(M159:M167)</f>
        <v>0</v>
      </c>
      <c r="N168" s="157"/>
      <c r="O168" s="157"/>
      <c r="P168" s="147" t="s">
        <v>102</v>
      </c>
      <c r="Q168" s="157">
        <f>SUM(Q159:Q167)</f>
        <v>0</v>
      </c>
      <c r="R168" s="152"/>
    </row>
    <row r="169" spans="1:18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  <c r="J169" s="149"/>
      <c r="K169" s="150"/>
      <c r="L169" s="147" t="s">
        <v>103</v>
      </c>
      <c r="M169" s="157">
        <f>M168-Q168</f>
        <v>0</v>
      </c>
      <c r="N169" s="157"/>
      <c r="O169" s="158" t="s">
        <v>104</v>
      </c>
      <c r="Q169" s="150"/>
      <c r="R169" s="152"/>
    </row>
    <row r="170" spans="1:18" ht="17.100000000000001" customHeight="1" x14ac:dyDescent="0.2">
      <c r="A170" s="149"/>
      <c r="C170" s="307" t="str">
        <f>"("&amp;BAHTTEXT(D169)&amp;")"</f>
        <v>(ศูนย์บาทถ้วน)</v>
      </c>
      <c r="D170" s="307"/>
      <c r="E170" s="307"/>
      <c r="F170" s="307"/>
      <c r="G170" s="307"/>
      <c r="I170" s="152"/>
      <c r="J170" s="149"/>
      <c r="K170" s="150"/>
      <c r="L170" s="307" t="str">
        <f>"("&amp;BAHTTEXT(M169)&amp;")"</f>
        <v>(ศูนย์บาทถ้วน)</v>
      </c>
      <c r="M170" s="307"/>
      <c r="N170" s="307"/>
      <c r="O170" s="307"/>
      <c r="P170" s="307"/>
      <c r="Q170" s="150"/>
      <c r="R170" s="152"/>
    </row>
    <row r="171" spans="1:18" ht="17.100000000000001" customHeight="1" x14ac:dyDescent="0.2">
      <c r="A171" s="149"/>
      <c r="C171" s="147"/>
      <c r="D171" s="147"/>
      <c r="E171" s="147"/>
      <c r="F171" s="147"/>
      <c r="G171" s="147"/>
      <c r="I171" s="152"/>
      <c r="J171" s="149"/>
      <c r="K171" s="150"/>
      <c r="L171" s="147"/>
      <c r="M171" s="147"/>
      <c r="N171" s="147"/>
      <c r="O171" s="147"/>
      <c r="P171" s="147"/>
      <c r="Q171" s="150"/>
      <c r="R171" s="152"/>
    </row>
    <row r="172" spans="1:18" ht="17.100000000000001" customHeight="1" x14ac:dyDescent="0.2">
      <c r="A172" s="149"/>
      <c r="I172" s="152"/>
      <c r="J172" s="149"/>
      <c r="K172" s="150"/>
      <c r="L172" s="150"/>
      <c r="M172" s="150"/>
      <c r="N172" s="150"/>
      <c r="O172" s="150"/>
      <c r="P172" s="150"/>
      <c r="Q172" s="150"/>
      <c r="R172" s="152"/>
    </row>
    <row r="173" spans="1:18" ht="17.100000000000001" customHeight="1" x14ac:dyDescent="0.2">
      <c r="A173" s="149"/>
      <c r="I173" s="152"/>
      <c r="J173" s="149"/>
      <c r="R173" s="152"/>
    </row>
    <row r="174" spans="1:18" ht="17.100000000000001" customHeight="1" x14ac:dyDescent="0.2">
      <c r="A174" s="149"/>
      <c r="I174" s="152"/>
      <c r="J174" s="149"/>
      <c r="R174" s="152"/>
    </row>
    <row r="175" spans="1:18" ht="17.100000000000001" customHeight="1" x14ac:dyDescent="0.2">
      <c r="A175" s="308" t="s">
        <v>315</v>
      </c>
      <c r="B175" s="307"/>
      <c r="C175" s="307"/>
      <c r="D175" s="307"/>
      <c r="E175" s="307"/>
      <c r="F175" s="307"/>
      <c r="G175" s="307"/>
      <c r="H175" s="307"/>
      <c r="I175" s="309"/>
      <c r="J175" s="308" t="s">
        <v>315</v>
      </c>
      <c r="K175" s="307"/>
      <c r="L175" s="307"/>
      <c r="M175" s="307"/>
      <c r="N175" s="307"/>
      <c r="O175" s="307"/>
      <c r="P175" s="307"/>
      <c r="Q175" s="307"/>
      <c r="R175" s="309"/>
    </row>
    <row r="176" spans="1:18" ht="17.100000000000001" customHeight="1" x14ac:dyDescent="0.2">
      <c r="A176" s="310" t="s">
        <v>298</v>
      </c>
      <c r="B176" s="311"/>
      <c r="C176" s="311"/>
      <c r="D176" s="311"/>
      <c r="E176" s="311"/>
      <c r="F176" s="311"/>
      <c r="G176" s="311"/>
      <c r="H176" s="311"/>
      <c r="I176" s="312"/>
      <c r="J176" s="310" t="s">
        <v>298</v>
      </c>
      <c r="K176" s="311"/>
      <c r="L176" s="311"/>
      <c r="M176" s="311"/>
      <c r="N176" s="311"/>
      <c r="O176" s="311"/>
      <c r="P176" s="311"/>
      <c r="Q176" s="311"/>
      <c r="R176" s="312"/>
    </row>
    <row r="177" spans="1:18" ht="17.100000000000001" customHeight="1" x14ac:dyDescent="0.2">
      <c r="A177" s="313" t="str">
        <f>A1</f>
        <v>โรงพยาบาลสามโคก  ประจำเดือน  พฤศจิกายน  2568</v>
      </c>
      <c r="B177" s="314"/>
      <c r="C177" s="314"/>
      <c r="D177" s="314"/>
      <c r="E177" s="314"/>
      <c r="F177" s="314"/>
      <c r="G177" s="314"/>
      <c r="H177" s="314"/>
      <c r="I177" s="315"/>
      <c r="J177" s="313" t="str">
        <f>A1</f>
        <v>โรงพยาบาลสามโคก  ประจำเดือน  พฤศจิกายน  2568</v>
      </c>
      <c r="K177" s="314"/>
      <c r="L177" s="314"/>
      <c r="M177" s="314"/>
      <c r="N177" s="314"/>
      <c r="O177" s="314"/>
      <c r="P177" s="314"/>
      <c r="Q177" s="314"/>
      <c r="R177" s="315"/>
    </row>
    <row r="178" spans="1:18" ht="17.100000000000001" customHeight="1" x14ac:dyDescent="0.2">
      <c r="A178" s="308" t="s">
        <v>478</v>
      </c>
      <c r="B178" s="307"/>
      <c r="C178" s="307"/>
      <c r="D178" s="307"/>
      <c r="E178" s="307"/>
      <c r="F178" s="307"/>
      <c r="G178" s="307"/>
      <c r="H178" s="307"/>
      <c r="I178" s="309"/>
      <c r="J178" s="308" t="s">
        <v>539</v>
      </c>
      <c r="K178" s="307"/>
      <c r="L178" s="307"/>
      <c r="M178" s="307"/>
      <c r="N178" s="307"/>
      <c r="O178" s="307"/>
      <c r="P178" s="307"/>
      <c r="Q178" s="307"/>
      <c r="R178" s="309"/>
    </row>
    <row r="179" spans="1:18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  <c r="J179" s="149"/>
      <c r="K179" s="153"/>
      <c r="L179" s="150"/>
      <c r="M179" s="147"/>
      <c r="N179" s="147"/>
      <c r="O179" s="147"/>
      <c r="P179" s="150"/>
      <c r="Q179" s="150"/>
      <c r="R179" s="152"/>
    </row>
    <row r="180" spans="1:18" ht="17.100000000000001" customHeight="1" x14ac:dyDescent="0.2">
      <c r="A180" s="149"/>
      <c r="B180" s="307" t="s">
        <v>9</v>
      </c>
      <c r="C180" s="307"/>
      <c r="D180" s="307"/>
      <c r="E180" s="147"/>
      <c r="F180" s="147"/>
      <c r="G180" s="307" t="s">
        <v>10</v>
      </c>
      <c r="H180" s="307"/>
      <c r="I180" s="152"/>
      <c r="J180" s="149"/>
      <c r="K180" s="307" t="s">
        <v>9</v>
      </c>
      <c r="L180" s="307"/>
      <c r="M180" s="307"/>
      <c r="N180" s="147"/>
      <c r="O180" s="147"/>
      <c r="P180" s="307" t="s">
        <v>10</v>
      </c>
      <c r="Q180" s="307"/>
      <c r="R180" s="152"/>
    </row>
    <row r="181" spans="1:18" ht="17.100000000000001" customHeight="1" x14ac:dyDescent="0.2">
      <c r="A181" s="149"/>
      <c r="B181" s="306" t="s">
        <v>3</v>
      </c>
      <c r="C181" s="306"/>
      <c r="D181" s="154">
        <f>ข้าราชการ!E16</f>
        <v>0</v>
      </c>
      <c r="E181" s="154"/>
      <c r="F181" s="155"/>
      <c r="G181" s="150" t="s">
        <v>99</v>
      </c>
      <c r="H181" s="154">
        <f>ข้าราชการ!N16</f>
        <v>0</v>
      </c>
      <c r="I181" s="152"/>
      <c r="J181" s="149"/>
      <c r="K181" s="306" t="s">
        <v>3</v>
      </c>
      <c r="L181" s="306"/>
      <c r="M181" s="154">
        <f>ข้าราชการ!E30</f>
        <v>0</v>
      </c>
      <c r="N181" s="154"/>
      <c r="O181" s="155"/>
      <c r="P181" s="150" t="s">
        <v>99</v>
      </c>
      <c r="Q181" s="154">
        <v>0</v>
      </c>
      <c r="R181" s="152"/>
    </row>
    <row r="182" spans="1:18" ht="17.100000000000001" customHeight="1" x14ac:dyDescent="0.2">
      <c r="A182" s="149"/>
      <c r="B182" s="306" t="s">
        <v>106</v>
      </c>
      <c r="C182" s="306"/>
      <c r="D182" s="154">
        <f>ข้าราชการ!F16</f>
        <v>0</v>
      </c>
      <c r="E182" s="154"/>
      <c r="F182" s="155"/>
      <c r="G182" s="150" t="s">
        <v>53</v>
      </c>
      <c r="H182" s="154">
        <f>ข้าราชการ!O16</f>
        <v>0</v>
      </c>
      <c r="I182" s="152"/>
      <c r="J182" s="149"/>
      <c r="K182" s="306" t="s">
        <v>106</v>
      </c>
      <c r="L182" s="306"/>
      <c r="M182" s="154">
        <v>0</v>
      </c>
      <c r="N182" s="154"/>
      <c r="O182" s="155"/>
      <c r="P182" s="150" t="s">
        <v>53</v>
      </c>
      <c r="Q182" s="154">
        <v>0</v>
      </c>
      <c r="R182" s="152"/>
    </row>
    <row r="183" spans="1:18" ht="17.100000000000001" customHeight="1" x14ac:dyDescent="0.2">
      <c r="A183" s="149"/>
      <c r="B183" s="306" t="s">
        <v>107</v>
      </c>
      <c r="C183" s="306"/>
      <c r="D183" s="154">
        <f>ข้าราชการ!G16</f>
        <v>0</v>
      </c>
      <c r="E183" s="154"/>
      <c r="F183" s="155"/>
      <c r="G183" s="150" t="s">
        <v>54</v>
      </c>
      <c r="H183" s="154">
        <f>ข้าราชการ!P16</f>
        <v>0</v>
      </c>
      <c r="I183" s="152"/>
      <c r="J183" s="149"/>
      <c r="K183" s="306" t="s">
        <v>107</v>
      </c>
      <c r="L183" s="306"/>
      <c r="M183" s="154">
        <v>0</v>
      </c>
      <c r="N183" s="154"/>
      <c r="O183" s="155"/>
      <c r="P183" s="150" t="s">
        <v>54</v>
      </c>
      <c r="Q183" s="154">
        <v>0</v>
      </c>
      <c r="R183" s="152"/>
    </row>
    <row r="184" spans="1:18" ht="17.100000000000001" customHeight="1" x14ac:dyDescent="0.2">
      <c r="A184" s="149"/>
      <c r="B184" s="306" t="s">
        <v>130</v>
      </c>
      <c r="C184" s="306"/>
      <c r="D184" s="154">
        <f>ข้าราชการ!H16</f>
        <v>0</v>
      </c>
      <c r="E184" s="154"/>
      <c r="F184" s="155"/>
      <c r="G184" s="150" t="s">
        <v>100</v>
      </c>
      <c r="H184" s="154">
        <f>ข้าราชการ!Q16</f>
        <v>0</v>
      </c>
      <c r="I184" s="152"/>
      <c r="J184" s="149"/>
      <c r="K184" s="306" t="s">
        <v>105</v>
      </c>
      <c r="L184" s="306"/>
      <c r="M184" s="154">
        <f>ข้าราชการ!H30</f>
        <v>0</v>
      </c>
      <c r="N184" s="154"/>
      <c r="O184" s="155"/>
      <c r="P184" s="150" t="s">
        <v>100</v>
      </c>
      <c r="Q184" s="154">
        <v>0</v>
      </c>
      <c r="R184" s="152"/>
    </row>
    <row r="185" spans="1:18" ht="17.100000000000001" customHeight="1" x14ac:dyDescent="0.2">
      <c r="A185" s="149"/>
      <c r="B185" s="306" t="s">
        <v>291</v>
      </c>
      <c r="C185" s="306"/>
      <c r="D185" s="154">
        <f>ข้าราชการ!I16</f>
        <v>0</v>
      </c>
      <c r="E185" s="154"/>
      <c r="F185" s="155"/>
      <c r="G185" s="150" t="s">
        <v>55</v>
      </c>
      <c r="H185" s="156">
        <f>ข้าราชการ!R16</f>
        <v>0</v>
      </c>
      <c r="I185" s="152"/>
      <c r="J185" s="149"/>
      <c r="K185" s="306" t="s">
        <v>291</v>
      </c>
      <c r="L185" s="306"/>
      <c r="M185" s="154">
        <f>ข้าราชการ!I30</f>
        <v>0</v>
      </c>
      <c r="N185" s="154"/>
      <c r="O185" s="155"/>
      <c r="P185" s="150" t="s">
        <v>55</v>
      </c>
      <c r="Q185" s="156">
        <v>0</v>
      </c>
      <c r="R185" s="152"/>
    </row>
    <row r="186" spans="1:18" ht="17.100000000000001" customHeight="1" x14ac:dyDescent="0.2">
      <c r="A186" s="149"/>
      <c r="B186" s="306" t="s">
        <v>119</v>
      </c>
      <c r="C186" s="306"/>
      <c r="D186" s="154">
        <f>ข้าราชการ!J16</f>
        <v>0</v>
      </c>
      <c r="E186" s="154"/>
      <c r="F186" s="155"/>
      <c r="G186" s="153" t="s">
        <v>137</v>
      </c>
      <c r="H186" s="156">
        <f>ข้าราชการ!S16</f>
        <v>0</v>
      </c>
      <c r="I186" s="152"/>
      <c r="J186" s="149"/>
      <c r="K186" s="306" t="s">
        <v>119</v>
      </c>
      <c r="L186" s="306"/>
      <c r="M186" s="154">
        <f>ข้าราชการ!J30</f>
        <v>0</v>
      </c>
      <c r="N186" s="154"/>
      <c r="O186" s="155"/>
      <c r="P186" s="153" t="s">
        <v>137</v>
      </c>
      <c r="Q186" s="156">
        <v>0</v>
      </c>
      <c r="R186" s="152"/>
    </row>
    <row r="187" spans="1:18" ht="17.100000000000001" customHeight="1" x14ac:dyDescent="0.2">
      <c r="A187" s="149"/>
      <c r="B187" s="306" t="s">
        <v>5</v>
      </c>
      <c r="C187" s="306"/>
      <c r="D187" s="154">
        <f>ข้าราชการ!K16</f>
        <v>0</v>
      </c>
      <c r="E187" s="154"/>
      <c r="F187" s="155"/>
      <c r="G187" s="150" t="s">
        <v>56</v>
      </c>
      <c r="H187" s="156">
        <f>ข้าราชการ!T16</f>
        <v>0</v>
      </c>
      <c r="I187" s="152"/>
      <c r="J187" s="149"/>
      <c r="K187" s="306" t="s">
        <v>5</v>
      </c>
      <c r="L187" s="306"/>
      <c r="M187" s="154">
        <f>ข้าราชการ!K30</f>
        <v>0</v>
      </c>
      <c r="N187" s="154"/>
      <c r="O187" s="155"/>
      <c r="P187" s="150" t="s">
        <v>56</v>
      </c>
      <c r="Q187" s="156">
        <f>ข้าราชการ!T30</f>
        <v>0</v>
      </c>
      <c r="R187" s="152"/>
    </row>
    <row r="188" spans="1:18" ht="17.100000000000001" customHeight="1" x14ac:dyDescent="0.2">
      <c r="A188" s="149"/>
      <c r="B188" s="150" t="s">
        <v>6</v>
      </c>
      <c r="C188" s="150"/>
      <c r="D188" s="154">
        <f>ข้าราชการ!L16</f>
        <v>0</v>
      </c>
      <c r="E188" s="154"/>
      <c r="F188" s="155"/>
      <c r="G188" s="150" t="s">
        <v>57</v>
      </c>
      <c r="H188" s="156">
        <f>ข้าราชการ!U16</f>
        <v>0</v>
      </c>
      <c r="I188" s="152"/>
      <c r="J188" s="149"/>
      <c r="K188" s="150" t="s">
        <v>6</v>
      </c>
      <c r="L188" s="150"/>
      <c r="M188" s="154">
        <f>ข้าราชการ!L30</f>
        <v>0</v>
      </c>
      <c r="N188" s="154"/>
      <c r="O188" s="155"/>
      <c r="P188" s="150" t="s">
        <v>57</v>
      </c>
      <c r="Q188" s="156">
        <f>ข้าราชการ!U30</f>
        <v>0</v>
      </c>
      <c r="R188" s="152"/>
    </row>
    <row r="189" spans="1:18" ht="17.100000000000001" customHeight="1" x14ac:dyDescent="0.2">
      <c r="A189" s="149"/>
      <c r="B189" s="306" t="s">
        <v>7</v>
      </c>
      <c r="C189" s="306"/>
      <c r="D189" s="154">
        <f>ข้าราชการ!M16</f>
        <v>0</v>
      </c>
      <c r="E189" s="154"/>
      <c r="F189" s="155"/>
      <c r="G189" s="150"/>
      <c r="H189" s="154"/>
      <c r="I189" s="152"/>
      <c r="J189" s="149"/>
      <c r="K189" s="306" t="s">
        <v>7</v>
      </c>
      <c r="L189" s="306"/>
      <c r="M189" s="154">
        <f>ข้าราชการ!M30</f>
        <v>0</v>
      </c>
      <c r="N189" s="154"/>
      <c r="O189" s="155"/>
      <c r="P189" s="150"/>
      <c r="Q189" s="154"/>
      <c r="R189" s="152"/>
    </row>
    <row r="190" spans="1:18" ht="17.100000000000001" customHeight="1" x14ac:dyDescent="0.2">
      <c r="A190" s="149"/>
      <c r="B190" s="307" t="s">
        <v>101</v>
      </c>
      <c r="C190" s="307"/>
      <c r="D190" s="157">
        <f>SUM(D181:D189)</f>
        <v>0</v>
      </c>
      <c r="E190" s="157"/>
      <c r="F190" s="157"/>
      <c r="G190" s="147" t="s">
        <v>102</v>
      </c>
      <c r="H190" s="157">
        <f>SUM(H181:H189)</f>
        <v>0</v>
      </c>
      <c r="I190" s="152"/>
      <c r="J190" s="149"/>
      <c r="K190" s="307" t="s">
        <v>101</v>
      </c>
      <c r="L190" s="307"/>
      <c r="M190" s="154">
        <f>SUM(M181:M189)</f>
        <v>0</v>
      </c>
      <c r="N190" s="157"/>
      <c r="O190" s="157"/>
      <c r="P190" s="147" t="s">
        <v>102</v>
      </c>
      <c r="Q190" s="157">
        <f>SUM(Q181:Q189)</f>
        <v>0</v>
      </c>
      <c r="R190" s="152"/>
    </row>
    <row r="191" spans="1:18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  <c r="J191" s="149"/>
      <c r="K191" s="150"/>
      <c r="L191" s="147" t="s">
        <v>103</v>
      </c>
      <c r="M191" s="157">
        <f>M190-Q190</f>
        <v>0</v>
      </c>
      <c r="N191" s="157"/>
      <c r="O191" s="158" t="s">
        <v>104</v>
      </c>
      <c r="Q191" s="150"/>
      <c r="R191" s="152"/>
    </row>
    <row r="192" spans="1:18" ht="17.100000000000001" customHeight="1" x14ac:dyDescent="0.2">
      <c r="A192" s="149"/>
      <c r="B192" s="150"/>
      <c r="C192" s="307" t="str">
        <f>"("&amp;BAHTTEXT(D191)&amp;")"</f>
        <v>(ศูนย์บาทถ้วน)</v>
      </c>
      <c r="D192" s="307"/>
      <c r="E192" s="307"/>
      <c r="F192" s="307"/>
      <c r="G192" s="307"/>
      <c r="H192" s="150"/>
      <c r="I192" s="152"/>
      <c r="J192" s="149"/>
      <c r="K192" s="150"/>
      <c r="L192" s="307" t="str">
        <f>"("&amp;BAHTTEXT(M191)&amp;")"</f>
        <v>(ศูนย์บาทถ้วน)</v>
      </c>
      <c r="M192" s="307"/>
      <c r="N192" s="307"/>
      <c r="O192" s="307"/>
      <c r="P192" s="307"/>
      <c r="Q192" s="150"/>
      <c r="R192" s="152"/>
    </row>
    <row r="193" spans="1:18" ht="17.100000000000001" customHeight="1" x14ac:dyDescent="0.2">
      <c r="A193" s="149"/>
      <c r="B193" s="150"/>
      <c r="C193" s="147"/>
      <c r="D193" s="147"/>
      <c r="E193" s="147"/>
      <c r="F193" s="147"/>
      <c r="G193" s="147"/>
      <c r="H193" s="150"/>
      <c r="I193" s="152"/>
      <c r="J193" s="149"/>
      <c r="K193" s="150"/>
      <c r="L193" s="147"/>
      <c r="M193" s="147"/>
      <c r="N193" s="147"/>
      <c r="O193" s="147"/>
      <c r="P193" s="147"/>
      <c r="Q193" s="150"/>
      <c r="R193" s="152"/>
    </row>
    <row r="194" spans="1:18" ht="17.100000000000001" customHeight="1" x14ac:dyDescent="0.2">
      <c r="A194" s="149"/>
      <c r="B194" s="150"/>
      <c r="C194" s="150"/>
      <c r="D194" s="150"/>
      <c r="E194" s="150"/>
      <c r="F194" s="150"/>
      <c r="G194" s="150"/>
      <c r="H194" s="150"/>
      <c r="I194" s="152"/>
      <c r="J194" s="149"/>
      <c r="K194" s="150"/>
      <c r="L194" s="150"/>
      <c r="M194" s="150"/>
      <c r="N194" s="150"/>
      <c r="O194" s="150"/>
      <c r="P194" s="150"/>
      <c r="Q194" s="150"/>
      <c r="R194" s="152"/>
    </row>
    <row r="195" spans="1:18" ht="17.100000000000001" customHeight="1" x14ac:dyDescent="0.2">
      <c r="A195" s="149"/>
      <c r="I195" s="152"/>
      <c r="J195" s="149"/>
      <c r="R195" s="152"/>
    </row>
    <row r="196" spans="1:18" ht="17.100000000000001" customHeight="1" x14ac:dyDescent="0.2">
      <c r="A196" s="149"/>
      <c r="I196" s="152"/>
      <c r="J196" s="149"/>
      <c r="R196" s="152"/>
    </row>
    <row r="197" spans="1:18" ht="17.100000000000001" customHeight="1" x14ac:dyDescent="0.2">
      <c r="A197" s="149"/>
      <c r="B197" s="307" t="s">
        <v>315</v>
      </c>
      <c r="C197" s="307"/>
      <c r="D197" s="307"/>
      <c r="E197" s="307"/>
      <c r="F197" s="307"/>
      <c r="G197" s="307"/>
      <c r="H197" s="307"/>
      <c r="I197" s="152"/>
      <c r="J197" s="308" t="s">
        <v>315</v>
      </c>
      <c r="K197" s="307"/>
      <c r="L197" s="307"/>
      <c r="M197" s="307"/>
      <c r="N197" s="307"/>
      <c r="O197" s="307"/>
      <c r="P197" s="307"/>
      <c r="Q197" s="307"/>
      <c r="R197" s="309"/>
    </row>
    <row r="198" spans="1:18" ht="17.100000000000001" customHeight="1" x14ac:dyDescent="0.2">
      <c r="A198" s="161"/>
      <c r="B198" s="311" t="s">
        <v>298</v>
      </c>
      <c r="C198" s="311"/>
      <c r="D198" s="311"/>
      <c r="E198" s="311"/>
      <c r="F198" s="311"/>
      <c r="G198" s="311"/>
      <c r="H198" s="311"/>
      <c r="I198" s="162"/>
      <c r="J198" s="310" t="s">
        <v>298</v>
      </c>
      <c r="K198" s="311"/>
      <c r="L198" s="311"/>
      <c r="M198" s="311"/>
      <c r="N198" s="311"/>
      <c r="O198" s="311"/>
      <c r="P198" s="311"/>
      <c r="Q198" s="311"/>
      <c r="R198" s="312"/>
    </row>
    <row r="199" spans="1:18" ht="17.100000000000001" customHeight="1" x14ac:dyDescent="0.2">
      <c r="A199" s="313" t="str">
        <f>A1</f>
        <v>โรงพยาบาลสามโคก  ประจำเดือน  พฤศจิกายน  2568</v>
      </c>
      <c r="B199" s="314"/>
      <c r="C199" s="314"/>
      <c r="D199" s="314"/>
      <c r="E199" s="314"/>
      <c r="F199" s="314"/>
      <c r="G199" s="314"/>
      <c r="H199" s="314"/>
      <c r="I199" s="315"/>
      <c r="J199" s="313" t="str">
        <f>A1</f>
        <v>โรงพยาบาลสามโคก  ประจำเดือน  พฤศจิกายน  2568</v>
      </c>
      <c r="K199" s="314"/>
      <c r="L199" s="314"/>
      <c r="M199" s="314"/>
      <c r="N199" s="314"/>
      <c r="O199" s="314"/>
      <c r="P199" s="314"/>
      <c r="Q199" s="314"/>
      <c r="R199" s="315"/>
    </row>
    <row r="200" spans="1:18" ht="17.100000000000001" customHeight="1" x14ac:dyDescent="0.2">
      <c r="A200" s="308" t="s">
        <v>276</v>
      </c>
      <c r="B200" s="307"/>
      <c r="C200" s="307"/>
      <c r="D200" s="307"/>
      <c r="E200" s="307"/>
      <c r="F200" s="307"/>
      <c r="G200" s="307"/>
      <c r="H200" s="307"/>
      <c r="I200" s="309"/>
      <c r="J200" s="308" t="s">
        <v>249</v>
      </c>
      <c r="K200" s="307"/>
      <c r="L200" s="307"/>
      <c r="M200" s="307"/>
      <c r="N200" s="307"/>
      <c r="O200" s="307"/>
      <c r="P200" s="307"/>
      <c r="Q200" s="307"/>
      <c r="R200" s="309"/>
    </row>
    <row r="201" spans="1:18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  <c r="J201" s="149"/>
      <c r="K201" s="153"/>
      <c r="L201" s="150"/>
      <c r="M201" s="147"/>
      <c r="N201" s="147"/>
      <c r="O201" s="147"/>
      <c r="P201" s="150"/>
      <c r="Q201" s="150"/>
      <c r="R201" s="152"/>
    </row>
    <row r="202" spans="1:18" ht="17.100000000000001" customHeight="1" x14ac:dyDescent="0.2">
      <c r="A202" s="149"/>
      <c r="B202" s="307" t="s">
        <v>9</v>
      </c>
      <c r="C202" s="307"/>
      <c r="D202" s="307"/>
      <c r="E202" s="147"/>
      <c r="F202" s="147"/>
      <c r="G202" s="307" t="s">
        <v>10</v>
      </c>
      <c r="H202" s="307"/>
      <c r="I202" s="152"/>
      <c r="J202" s="149"/>
      <c r="K202" s="307" t="s">
        <v>9</v>
      </c>
      <c r="L202" s="307"/>
      <c r="M202" s="307"/>
      <c r="N202" s="147"/>
      <c r="O202" s="147"/>
      <c r="P202" s="307" t="s">
        <v>10</v>
      </c>
      <c r="Q202" s="307"/>
      <c r="R202" s="152"/>
    </row>
    <row r="203" spans="1:18" ht="17.100000000000001" customHeight="1" x14ac:dyDescent="0.2">
      <c r="A203" s="149"/>
      <c r="B203" s="306" t="s">
        <v>3</v>
      </c>
      <c r="C203" s="306"/>
      <c r="D203" s="154">
        <f>ข้าราชการ!E17</f>
        <v>0</v>
      </c>
      <c r="E203" s="154"/>
      <c r="F203" s="155"/>
      <c r="G203" s="150" t="s">
        <v>99</v>
      </c>
      <c r="H203" s="154">
        <f>ข้าราชการ!N17</f>
        <v>0</v>
      </c>
      <c r="I203" s="152"/>
      <c r="J203" s="149"/>
      <c r="K203" s="306" t="s">
        <v>3</v>
      </c>
      <c r="L203" s="306"/>
      <c r="M203" s="154">
        <f>ข้าราชการ!E31</f>
        <v>0</v>
      </c>
      <c r="N203" s="154"/>
      <c r="O203" s="155"/>
      <c r="P203" s="150" t="s">
        <v>99</v>
      </c>
      <c r="Q203" s="154">
        <f>ข้าราชการ!N31</f>
        <v>0</v>
      </c>
      <c r="R203" s="152"/>
    </row>
    <row r="204" spans="1:18" ht="17.100000000000001" customHeight="1" x14ac:dyDescent="0.2">
      <c r="A204" s="149"/>
      <c r="B204" s="306" t="s">
        <v>106</v>
      </c>
      <c r="C204" s="306"/>
      <c r="D204" s="154">
        <f>ข้าราชการ!F17</f>
        <v>0</v>
      </c>
      <c r="E204" s="154"/>
      <c r="F204" s="155"/>
      <c r="G204" s="150" t="s">
        <v>53</v>
      </c>
      <c r="H204" s="154">
        <f>ข้าราชการ!O17</f>
        <v>0</v>
      </c>
      <c r="I204" s="152"/>
      <c r="J204" s="149"/>
      <c r="K204" s="306" t="s">
        <v>106</v>
      </c>
      <c r="L204" s="306"/>
      <c r="M204" s="154">
        <f>ข้าราชการ!F31</f>
        <v>0</v>
      </c>
      <c r="N204" s="154"/>
      <c r="O204" s="155"/>
      <c r="P204" s="150" t="s">
        <v>53</v>
      </c>
      <c r="Q204" s="154">
        <f>ข้าราชการ!O31</f>
        <v>0</v>
      </c>
      <c r="R204" s="152"/>
    </row>
    <row r="205" spans="1:18" ht="17.100000000000001" customHeight="1" x14ac:dyDescent="0.2">
      <c r="A205" s="149"/>
      <c r="B205" s="306" t="s">
        <v>107</v>
      </c>
      <c r="C205" s="306"/>
      <c r="D205" s="154">
        <f>ข้าราชการ!G17</f>
        <v>0</v>
      </c>
      <c r="E205" s="154"/>
      <c r="F205" s="155"/>
      <c r="G205" s="150" t="s">
        <v>54</v>
      </c>
      <c r="H205" s="154">
        <f>ข้าราชการ!P17</f>
        <v>0</v>
      </c>
      <c r="I205" s="152"/>
      <c r="J205" s="149"/>
      <c r="K205" s="306" t="s">
        <v>107</v>
      </c>
      <c r="L205" s="306"/>
      <c r="M205" s="154">
        <f>ข้าราชการ!G31</f>
        <v>0</v>
      </c>
      <c r="N205" s="154"/>
      <c r="O205" s="155"/>
      <c r="P205" s="150" t="s">
        <v>54</v>
      </c>
      <c r="Q205" s="154">
        <f>ข้าราชการ!P31</f>
        <v>0</v>
      </c>
      <c r="R205" s="152"/>
    </row>
    <row r="206" spans="1:18" ht="17.100000000000001" customHeight="1" x14ac:dyDescent="0.2">
      <c r="A206" s="149"/>
      <c r="B206" s="306" t="s">
        <v>105</v>
      </c>
      <c r="C206" s="306"/>
      <c r="D206" s="154">
        <f>ข้าราชการ!H17</f>
        <v>0</v>
      </c>
      <c r="E206" s="154"/>
      <c r="F206" s="155"/>
      <c r="G206" s="150" t="s">
        <v>100</v>
      </c>
      <c r="H206" s="154">
        <f>ข้าราชการ!Q17</f>
        <v>0</v>
      </c>
      <c r="I206" s="152"/>
      <c r="J206" s="149"/>
      <c r="K206" s="306" t="s">
        <v>105</v>
      </c>
      <c r="L206" s="306"/>
      <c r="M206" s="154">
        <f>ข้าราชการ!H31</f>
        <v>0</v>
      </c>
      <c r="N206" s="154"/>
      <c r="O206" s="155"/>
      <c r="P206" s="150" t="s">
        <v>100</v>
      </c>
      <c r="Q206" s="154">
        <f>ข้าราชการ!Q31</f>
        <v>0</v>
      </c>
      <c r="R206" s="152"/>
    </row>
    <row r="207" spans="1:18" ht="17.100000000000001" customHeight="1" x14ac:dyDescent="0.2">
      <c r="A207" s="149"/>
      <c r="B207" s="306" t="s">
        <v>291</v>
      </c>
      <c r="C207" s="306"/>
      <c r="D207" s="154">
        <f>ข้าราชการ!I17</f>
        <v>0</v>
      </c>
      <c r="E207" s="154"/>
      <c r="F207" s="155"/>
      <c r="G207" s="150" t="s">
        <v>55</v>
      </c>
      <c r="H207" s="156">
        <f>ข้าราชการ!R17</f>
        <v>0</v>
      </c>
      <c r="I207" s="152"/>
      <c r="J207" s="149"/>
      <c r="K207" s="306" t="s">
        <v>291</v>
      </c>
      <c r="L207" s="306"/>
      <c r="M207" s="154">
        <f>ข้าราชการ!I31</f>
        <v>0</v>
      </c>
      <c r="N207" s="154"/>
      <c r="O207" s="155"/>
      <c r="P207" s="150" t="s">
        <v>55</v>
      </c>
      <c r="Q207" s="156">
        <f>ข้าราชการ!R31</f>
        <v>0</v>
      </c>
      <c r="R207" s="152"/>
    </row>
    <row r="208" spans="1:18" ht="17.100000000000001" customHeight="1" x14ac:dyDescent="0.2">
      <c r="A208" s="149"/>
      <c r="B208" s="306" t="s">
        <v>119</v>
      </c>
      <c r="C208" s="306"/>
      <c r="D208" s="154">
        <f>ข้าราชการ!J17</f>
        <v>0</v>
      </c>
      <c r="E208" s="154"/>
      <c r="F208" s="155"/>
      <c r="G208" s="153" t="s">
        <v>137</v>
      </c>
      <c r="H208" s="156">
        <f>ข้าราชการ!S17</f>
        <v>0</v>
      </c>
      <c r="I208" s="152"/>
      <c r="J208" s="149"/>
      <c r="K208" s="306" t="s">
        <v>119</v>
      </c>
      <c r="L208" s="306"/>
      <c r="M208" s="154">
        <f>ข้าราชการ!J31</f>
        <v>0</v>
      </c>
      <c r="N208" s="154"/>
      <c r="O208" s="155"/>
      <c r="P208" s="153" t="s">
        <v>137</v>
      </c>
      <c r="Q208" s="156">
        <f>ข้าราชการ!S31</f>
        <v>0</v>
      </c>
      <c r="R208" s="152"/>
    </row>
    <row r="209" spans="1:18" ht="17.100000000000001" customHeight="1" x14ac:dyDescent="0.2">
      <c r="A209" s="149"/>
      <c r="B209" s="306" t="s">
        <v>5</v>
      </c>
      <c r="C209" s="306"/>
      <c r="D209" s="154">
        <f>ข้าราชการ!K17</f>
        <v>0</v>
      </c>
      <c r="E209" s="154"/>
      <c r="F209" s="155"/>
      <c r="G209" s="150" t="s">
        <v>56</v>
      </c>
      <c r="H209" s="156">
        <f>ข้าราชการ!T17</f>
        <v>0</v>
      </c>
      <c r="I209" s="152"/>
      <c r="J209" s="149"/>
      <c r="K209" s="306" t="s">
        <v>5</v>
      </c>
      <c r="L209" s="306"/>
      <c r="M209" s="154">
        <f>ข้าราชการ!K31</f>
        <v>0</v>
      </c>
      <c r="N209" s="154"/>
      <c r="O209" s="155"/>
      <c r="P209" s="150" t="s">
        <v>56</v>
      </c>
      <c r="Q209" s="156">
        <f>ข้าราชการ!T31</f>
        <v>0</v>
      </c>
      <c r="R209" s="152"/>
    </row>
    <row r="210" spans="1:18" ht="17.100000000000001" customHeight="1" x14ac:dyDescent="0.2">
      <c r="A210" s="149"/>
      <c r="B210" s="150" t="s">
        <v>6</v>
      </c>
      <c r="C210" s="150"/>
      <c r="D210" s="154">
        <f>ข้าราชการ!L17</f>
        <v>0</v>
      </c>
      <c r="E210" s="154"/>
      <c r="F210" s="155"/>
      <c r="G210" s="150" t="s">
        <v>57</v>
      </c>
      <c r="H210" s="156">
        <f>ข้าราชการ!U17</f>
        <v>0</v>
      </c>
      <c r="I210" s="152"/>
      <c r="J210" s="149"/>
      <c r="K210" s="150" t="s">
        <v>6</v>
      </c>
      <c r="L210" s="150"/>
      <c r="M210" s="154">
        <f>ข้าราชการ!L31</f>
        <v>0</v>
      </c>
      <c r="N210" s="154"/>
      <c r="O210" s="155"/>
      <c r="P210" s="150" t="s">
        <v>57</v>
      </c>
      <c r="Q210" s="156">
        <f>ข้าราชการ!U31</f>
        <v>0</v>
      </c>
      <c r="R210" s="152"/>
    </row>
    <row r="211" spans="1:18" ht="17.100000000000001" customHeight="1" x14ac:dyDescent="0.2">
      <c r="A211" s="149"/>
      <c r="B211" s="306" t="s">
        <v>7</v>
      </c>
      <c r="C211" s="306"/>
      <c r="D211" s="154">
        <f>ข้าราชการ!M17</f>
        <v>0</v>
      </c>
      <c r="E211" s="154"/>
      <c r="F211" s="155"/>
      <c r="G211" s="150"/>
      <c r="H211" s="154"/>
      <c r="I211" s="152"/>
      <c r="J211" s="149"/>
      <c r="K211" s="306" t="s">
        <v>7</v>
      </c>
      <c r="L211" s="306"/>
      <c r="M211" s="154">
        <f>ข้าราชการ!M31</f>
        <v>0</v>
      </c>
      <c r="N211" s="154"/>
      <c r="O211" s="155"/>
      <c r="P211" s="150"/>
      <c r="Q211" s="154"/>
      <c r="R211" s="152"/>
    </row>
    <row r="212" spans="1:18" ht="17.100000000000001" customHeight="1" x14ac:dyDescent="0.2">
      <c r="A212" s="149"/>
      <c r="B212" s="307" t="s">
        <v>101</v>
      </c>
      <c r="C212" s="307"/>
      <c r="D212" s="154">
        <f>SUM(D203:D211)</f>
        <v>0</v>
      </c>
      <c r="E212" s="154"/>
      <c r="F212" s="157"/>
      <c r="G212" s="147" t="s">
        <v>102</v>
      </c>
      <c r="H212" s="157">
        <f>SUM(H203:H211)</f>
        <v>0</v>
      </c>
      <c r="I212" s="152"/>
      <c r="J212" s="149"/>
      <c r="K212" s="307" t="s">
        <v>101</v>
      </c>
      <c r="L212" s="307"/>
      <c r="M212" s="157">
        <f>SUM(M203:M211)</f>
        <v>0</v>
      </c>
      <c r="N212" s="157"/>
      <c r="O212" s="157"/>
      <c r="P212" s="147" t="s">
        <v>102</v>
      </c>
      <c r="Q212" s="157">
        <f>SUM(Q203:Q211)</f>
        <v>0</v>
      </c>
      <c r="R212" s="152"/>
    </row>
    <row r="213" spans="1:18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  <c r="J213" s="149"/>
      <c r="K213" s="150"/>
      <c r="L213" s="147" t="s">
        <v>103</v>
      </c>
      <c r="M213" s="157">
        <f>M212-Q212</f>
        <v>0</v>
      </c>
      <c r="N213" s="157"/>
      <c r="O213" s="158" t="s">
        <v>104</v>
      </c>
      <c r="Q213" s="150"/>
      <c r="R213" s="152"/>
    </row>
    <row r="214" spans="1:18" ht="17.100000000000001" customHeight="1" x14ac:dyDescent="0.2">
      <c r="A214" s="149"/>
      <c r="B214" s="150"/>
      <c r="C214" s="307" t="str">
        <f>"("&amp;BAHTTEXT(D213)&amp;")"</f>
        <v>(ศูนย์บาทถ้วน)</v>
      </c>
      <c r="D214" s="307"/>
      <c r="E214" s="307"/>
      <c r="F214" s="307"/>
      <c r="G214" s="307"/>
      <c r="H214" s="150"/>
      <c r="I214" s="152"/>
      <c r="J214" s="149"/>
      <c r="K214" s="150"/>
      <c r="L214" s="307" t="str">
        <f>"("&amp;BAHTTEXT(M213)&amp;")"</f>
        <v>(ศูนย์บาทถ้วน)</v>
      </c>
      <c r="M214" s="307"/>
      <c r="N214" s="307"/>
      <c r="O214" s="307"/>
      <c r="P214" s="307"/>
      <c r="Q214" s="150"/>
      <c r="R214" s="152"/>
    </row>
    <row r="215" spans="1:18" ht="17.100000000000001" customHeight="1" x14ac:dyDescent="0.2">
      <c r="A215" s="149"/>
      <c r="B215" s="150"/>
      <c r="C215" s="147"/>
      <c r="D215" s="147"/>
      <c r="E215" s="147"/>
      <c r="F215" s="147"/>
      <c r="G215" s="147"/>
      <c r="H215" s="150"/>
      <c r="I215" s="152"/>
      <c r="J215" s="149"/>
      <c r="K215" s="150"/>
      <c r="L215" s="147"/>
      <c r="M215" s="147"/>
      <c r="N215" s="147"/>
      <c r="O215" s="147"/>
      <c r="P215" s="147"/>
      <c r="Q215" s="150"/>
      <c r="R215" s="152"/>
    </row>
    <row r="216" spans="1:18" ht="17.100000000000001" customHeight="1" x14ac:dyDescent="0.2">
      <c r="A216" s="149"/>
      <c r="B216" s="150"/>
      <c r="C216" s="150"/>
      <c r="D216" s="150"/>
      <c r="E216" s="150"/>
      <c r="F216" s="150"/>
      <c r="G216" s="150"/>
      <c r="H216" s="150"/>
      <c r="I216" s="152"/>
      <c r="J216" s="149"/>
      <c r="K216" s="150"/>
      <c r="L216" s="150"/>
      <c r="M216" s="150"/>
      <c r="N216" s="150"/>
      <c r="O216" s="150"/>
      <c r="P216" s="150"/>
      <c r="Q216" s="150"/>
      <c r="R216" s="152"/>
    </row>
    <row r="217" spans="1:18" ht="17.100000000000001" customHeight="1" x14ac:dyDescent="0.2">
      <c r="A217" s="149"/>
      <c r="I217" s="152"/>
      <c r="J217" s="149"/>
      <c r="R217" s="152"/>
    </row>
    <row r="218" spans="1:18" ht="17.100000000000001" customHeight="1" x14ac:dyDescent="0.2">
      <c r="A218" s="149"/>
      <c r="I218" s="152"/>
      <c r="J218" s="149"/>
      <c r="R218" s="152"/>
    </row>
    <row r="219" spans="1:18" ht="17.100000000000001" customHeight="1" x14ac:dyDescent="0.2">
      <c r="A219" s="149"/>
      <c r="B219" s="307" t="s">
        <v>315</v>
      </c>
      <c r="C219" s="307"/>
      <c r="D219" s="307"/>
      <c r="E219" s="307"/>
      <c r="F219" s="307"/>
      <c r="G219" s="307"/>
      <c r="H219" s="307"/>
      <c r="I219" s="152"/>
      <c r="J219" s="308" t="s">
        <v>315</v>
      </c>
      <c r="K219" s="307"/>
      <c r="L219" s="307"/>
      <c r="M219" s="307"/>
      <c r="N219" s="307"/>
      <c r="O219" s="307"/>
      <c r="P219" s="307"/>
      <c r="Q219" s="307"/>
      <c r="R219" s="309"/>
    </row>
    <row r="220" spans="1:18" ht="17.100000000000001" customHeight="1" x14ac:dyDescent="0.2">
      <c r="A220" s="161"/>
      <c r="B220" s="311" t="s">
        <v>298</v>
      </c>
      <c r="C220" s="311"/>
      <c r="D220" s="311"/>
      <c r="E220" s="311"/>
      <c r="F220" s="311"/>
      <c r="G220" s="311"/>
      <c r="H220" s="311"/>
      <c r="I220" s="162"/>
      <c r="J220" s="310" t="s">
        <v>298</v>
      </c>
      <c r="K220" s="311"/>
      <c r="L220" s="311"/>
      <c r="M220" s="311"/>
      <c r="N220" s="311"/>
      <c r="O220" s="311"/>
      <c r="P220" s="311"/>
      <c r="Q220" s="311"/>
      <c r="R220" s="312"/>
    </row>
    <row r="221" spans="1:18" ht="17.100000000000001" customHeight="1" x14ac:dyDescent="0.2">
      <c r="A221" s="313" t="str">
        <f>ขร2!A111</f>
        <v>โรงพยาบาลสามโคก  ประจำเดือน  พฤศจิกายน  2568</v>
      </c>
      <c r="B221" s="314"/>
      <c r="C221" s="314"/>
      <c r="D221" s="314"/>
      <c r="E221" s="314"/>
      <c r="F221" s="314"/>
      <c r="G221" s="314"/>
      <c r="H221" s="314"/>
      <c r="I221" s="315"/>
      <c r="J221" s="313" t="str">
        <f>A1</f>
        <v>โรงพยาบาลสามโคก  ประจำเดือน  พฤศจิกายน  2568</v>
      </c>
      <c r="K221" s="314"/>
      <c r="L221" s="314"/>
      <c r="M221" s="314"/>
      <c r="N221" s="314"/>
      <c r="O221" s="314"/>
      <c r="P221" s="314"/>
      <c r="Q221" s="314"/>
      <c r="R221" s="315"/>
    </row>
    <row r="222" spans="1:18" ht="17.100000000000001" customHeight="1" x14ac:dyDescent="0.2">
      <c r="A222" s="308" t="s">
        <v>242</v>
      </c>
      <c r="B222" s="307"/>
      <c r="C222" s="307"/>
      <c r="D222" s="307"/>
      <c r="E222" s="307"/>
      <c r="F222" s="307"/>
      <c r="G222" s="307"/>
      <c r="H222" s="307"/>
      <c r="I222" s="309"/>
      <c r="J222" s="308" t="s">
        <v>251</v>
      </c>
      <c r="K222" s="307"/>
      <c r="L222" s="307"/>
      <c r="M222" s="307"/>
      <c r="N222" s="307"/>
      <c r="O222" s="307"/>
      <c r="P222" s="307"/>
      <c r="Q222" s="307"/>
      <c r="R222" s="309"/>
    </row>
    <row r="223" spans="1:18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  <c r="J223" s="149"/>
      <c r="K223" s="153"/>
      <c r="L223" s="150"/>
      <c r="M223" s="147"/>
      <c r="N223" s="147"/>
      <c r="O223" s="147"/>
      <c r="P223" s="150"/>
      <c r="Q223" s="150"/>
      <c r="R223" s="152"/>
    </row>
    <row r="224" spans="1:18" ht="17.100000000000001" customHeight="1" x14ac:dyDescent="0.2">
      <c r="A224" s="149"/>
      <c r="B224" s="307" t="s">
        <v>9</v>
      </c>
      <c r="C224" s="307"/>
      <c r="D224" s="307"/>
      <c r="E224" s="147"/>
      <c r="F224" s="147"/>
      <c r="G224" s="307" t="s">
        <v>10</v>
      </c>
      <c r="H224" s="307"/>
      <c r="I224" s="152"/>
      <c r="J224" s="149"/>
      <c r="K224" s="307" t="s">
        <v>9</v>
      </c>
      <c r="L224" s="307"/>
      <c r="M224" s="307"/>
      <c r="N224" s="147"/>
      <c r="O224" s="147"/>
      <c r="P224" s="307" t="s">
        <v>10</v>
      </c>
      <c r="Q224" s="307"/>
      <c r="R224" s="152"/>
    </row>
    <row r="225" spans="1:18" ht="17.100000000000001" customHeight="1" x14ac:dyDescent="0.2">
      <c r="A225" s="149"/>
      <c r="B225" s="306" t="s">
        <v>3</v>
      </c>
      <c r="C225" s="306"/>
      <c r="D225" s="154">
        <f>ข้าราชการ!E18</f>
        <v>0</v>
      </c>
      <c r="E225" s="154"/>
      <c r="F225" s="155"/>
      <c r="G225" s="150" t="s">
        <v>99</v>
      </c>
      <c r="H225" s="154">
        <f>ข้าราชการ!N18</f>
        <v>0</v>
      </c>
      <c r="I225" s="152"/>
      <c r="J225" s="149"/>
      <c r="K225" s="306" t="s">
        <v>3</v>
      </c>
      <c r="L225" s="306"/>
      <c r="M225" s="154">
        <v>0</v>
      </c>
      <c r="N225" s="154"/>
      <c r="O225" s="155"/>
      <c r="P225" s="150" t="s">
        <v>99</v>
      </c>
      <c r="Q225" s="154">
        <v>0</v>
      </c>
      <c r="R225" s="152"/>
    </row>
    <row r="226" spans="1:18" ht="17.100000000000001" customHeight="1" x14ac:dyDescent="0.2">
      <c r="A226" s="149"/>
      <c r="B226" s="306" t="s">
        <v>106</v>
      </c>
      <c r="C226" s="306"/>
      <c r="D226" s="154">
        <f>ข้าราชการ!F18</f>
        <v>0</v>
      </c>
      <c r="E226" s="154"/>
      <c r="F226" s="155"/>
      <c r="G226" s="150" t="s">
        <v>53</v>
      </c>
      <c r="H226" s="154">
        <f>ข้าราชการ!O18</f>
        <v>0</v>
      </c>
      <c r="I226" s="152"/>
      <c r="J226" s="149"/>
      <c r="K226" s="306" t="s">
        <v>106</v>
      </c>
      <c r="L226" s="306"/>
      <c r="M226" s="154">
        <v>0</v>
      </c>
      <c r="N226" s="154"/>
      <c r="O226" s="155"/>
      <c r="P226" s="150" t="s">
        <v>53</v>
      </c>
      <c r="Q226" s="154">
        <v>0</v>
      </c>
      <c r="R226" s="152"/>
    </row>
    <row r="227" spans="1:18" ht="17.100000000000001" customHeight="1" x14ac:dyDescent="0.2">
      <c r="A227" s="149"/>
      <c r="B227" s="306" t="s">
        <v>665</v>
      </c>
      <c r="C227" s="306"/>
      <c r="D227" s="154">
        <f>ข้าราชการ!G18</f>
        <v>0</v>
      </c>
      <c r="E227" s="154"/>
      <c r="F227" s="155"/>
      <c r="G227" s="150" t="s">
        <v>54</v>
      </c>
      <c r="H227" s="154">
        <f>ข้าราชการ!P18</f>
        <v>0</v>
      </c>
      <c r="I227" s="152"/>
      <c r="J227" s="149"/>
      <c r="K227" s="306" t="s">
        <v>107</v>
      </c>
      <c r="L227" s="306"/>
      <c r="M227" s="154">
        <v>0</v>
      </c>
      <c r="N227" s="154"/>
      <c r="O227" s="155"/>
      <c r="P227" s="150" t="s">
        <v>54</v>
      </c>
      <c r="Q227" s="154">
        <v>0</v>
      </c>
      <c r="R227" s="152"/>
    </row>
    <row r="228" spans="1:18" ht="17.100000000000001" customHeight="1" x14ac:dyDescent="0.2">
      <c r="A228" s="149"/>
      <c r="B228" s="306" t="s">
        <v>105</v>
      </c>
      <c r="C228" s="306"/>
      <c r="D228" s="154">
        <f>ข้าราชการ!H18</f>
        <v>0</v>
      </c>
      <c r="E228" s="154"/>
      <c r="F228" s="155"/>
      <c r="G228" s="150" t="s">
        <v>100</v>
      </c>
      <c r="H228" s="154">
        <f>ข้าราชการ!Q18</f>
        <v>0</v>
      </c>
      <c r="I228" s="152"/>
      <c r="J228" s="149"/>
      <c r="K228" s="306" t="s">
        <v>105</v>
      </c>
      <c r="L228" s="306"/>
      <c r="M228" s="154">
        <f>ข้าราชการ!H32</f>
        <v>0</v>
      </c>
      <c r="N228" s="154"/>
      <c r="O228" s="155"/>
      <c r="P228" s="150" t="s">
        <v>100</v>
      </c>
      <c r="Q228" s="154">
        <v>0</v>
      </c>
      <c r="R228" s="152"/>
    </row>
    <row r="229" spans="1:18" ht="17.100000000000001" customHeight="1" x14ac:dyDescent="0.2">
      <c r="A229" s="149"/>
      <c r="B229" s="306" t="s">
        <v>291</v>
      </c>
      <c r="C229" s="306"/>
      <c r="D229" s="154">
        <f>ข้าราชการ!I18</f>
        <v>0</v>
      </c>
      <c r="E229" s="154"/>
      <c r="F229" s="155"/>
      <c r="G229" s="150" t="s">
        <v>55</v>
      </c>
      <c r="H229" s="156">
        <f>ข้าราชการ!R18</f>
        <v>0</v>
      </c>
      <c r="I229" s="152"/>
      <c r="J229" s="149"/>
      <c r="K229" s="306" t="s">
        <v>291</v>
      </c>
      <c r="L229" s="306"/>
      <c r="M229" s="154">
        <f>ข้าราชการ!I32</f>
        <v>0</v>
      </c>
      <c r="N229" s="154"/>
      <c r="O229" s="155"/>
      <c r="P229" s="150" t="s">
        <v>55</v>
      </c>
      <c r="Q229" s="156">
        <v>0</v>
      </c>
      <c r="R229" s="152"/>
    </row>
    <row r="230" spans="1:18" ht="17.100000000000001" customHeight="1" x14ac:dyDescent="0.2">
      <c r="A230" s="149"/>
      <c r="B230" s="306" t="s">
        <v>119</v>
      </c>
      <c r="C230" s="306"/>
      <c r="D230" s="154">
        <f>ข้าราชการ!J18</f>
        <v>0</v>
      </c>
      <c r="E230" s="154"/>
      <c r="F230" s="155"/>
      <c r="G230" s="153" t="s">
        <v>137</v>
      </c>
      <c r="H230" s="156">
        <f>ข้าราชการ!S18</f>
        <v>0</v>
      </c>
      <c r="I230" s="152"/>
      <c r="J230" s="149"/>
      <c r="K230" s="306" t="s">
        <v>666</v>
      </c>
      <c r="L230" s="306"/>
      <c r="M230" s="154">
        <f>ข้าราชการ!J32</f>
        <v>0</v>
      </c>
      <c r="N230" s="154"/>
      <c r="O230" s="155"/>
      <c r="P230" s="153" t="s">
        <v>137</v>
      </c>
      <c r="Q230" s="156">
        <f>ข้าราชการ!S32</f>
        <v>0</v>
      </c>
      <c r="R230" s="152"/>
    </row>
    <row r="231" spans="1:18" ht="17.100000000000001" customHeight="1" x14ac:dyDescent="0.2">
      <c r="A231" s="149"/>
      <c r="B231" s="306" t="s">
        <v>5</v>
      </c>
      <c r="C231" s="306"/>
      <c r="D231" s="154">
        <f>ข้าราชการ!K18</f>
        <v>0</v>
      </c>
      <c r="E231" s="154"/>
      <c r="F231" s="155"/>
      <c r="G231" s="150" t="s">
        <v>56</v>
      </c>
      <c r="H231" s="156">
        <f>ข้าราชการ!T18</f>
        <v>0</v>
      </c>
      <c r="I231" s="152"/>
      <c r="J231" s="149"/>
      <c r="K231" s="306" t="s">
        <v>5</v>
      </c>
      <c r="L231" s="306"/>
      <c r="M231" s="154">
        <f>ข้าราชการ!K32</f>
        <v>0</v>
      </c>
      <c r="N231" s="154"/>
      <c r="O231" s="155"/>
      <c r="P231" s="150" t="s">
        <v>56</v>
      </c>
      <c r="Q231" s="156">
        <f>ข้าราชการ!T32</f>
        <v>0</v>
      </c>
      <c r="R231" s="152"/>
    </row>
    <row r="232" spans="1:18" ht="17.100000000000001" customHeight="1" x14ac:dyDescent="0.2">
      <c r="A232" s="149"/>
      <c r="B232" s="150" t="s">
        <v>6</v>
      </c>
      <c r="C232" s="150"/>
      <c r="D232" s="154">
        <f>ข้าราชการ!L18</f>
        <v>0</v>
      </c>
      <c r="E232" s="154"/>
      <c r="F232" s="155"/>
      <c r="G232" s="150" t="s">
        <v>57</v>
      </c>
      <c r="H232" s="156">
        <f>ข้าราชการ!U18</f>
        <v>0</v>
      </c>
      <c r="I232" s="152"/>
      <c r="J232" s="149"/>
      <c r="K232" s="150" t="s">
        <v>6</v>
      </c>
      <c r="L232" s="150"/>
      <c r="M232" s="154">
        <v>0</v>
      </c>
      <c r="N232" s="154"/>
      <c r="O232" s="155"/>
      <c r="P232" s="150" t="s">
        <v>57</v>
      </c>
      <c r="Q232" s="156">
        <f>ข้าราชการ!U32</f>
        <v>0</v>
      </c>
      <c r="R232" s="152"/>
    </row>
    <row r="233" spans="1:18" ht="17.100000000000001" customHeight="1" x14ac:dyDescent="0.2">
      <c r="A233" s="149"/>
      <c r="B233" s="306" t="s">
        <v>7</v>
      </c>
      <c r="C233" s="306"/>
      <c r="D233" s="154">
        <f>ข้าราชการ!M18</f>
        <v>0</v>
      </c>
      <c r="E233" s="154"/>
      <c r="F233" s="155"/>
      <c r="G233" s="150"/>
      <c r="H233" s="154"/>
      <c r="I233" s="152"/>
      <c r="J233" s="149"/>
      <c r="K233" s="306" t="s">
        <v>7</v>
      </c>
      <c r="L233" s="306"/>
      <c r="M233" s="154">
        <v>0</v>
      </c>
      <c r="N233" s="154"/>
      <c r="O233" s="155"/>
      <c r="P233" s="150"/>
      <c r="Q233" s="154"/>
      <c r="R233" s="152"/>
    </row>
    <row r="234" spans="1:18" ht="17.100000000000001" customHeight="1" x14ac:dyDescent="0.2">
      <c r="A234" s="149"/>
      <c r="B234" s="307" t="s">
        <v>101</v>
      </c>
      <c r="C234" s="307"/>
      <c r="D234" s="157">
        <f>SUM(D225:D233)</f>
        <v>0</v>
      </c>
      <c r="E234" s="157"/>
      <c r="F234" s="157"/>
      <c r="G234" s="147" t="s">
        <v>102</v>
      </c>
      <c r="H234" s="157">
        <f>SUM(H225:H233)</f>
        <v>0</v>
      </c>
      <c r="I234" s="152"/>
      <c r="J234" s="149"/>
      <c r="K234" s="307" t="s">
        <v>101</v>
      </c>
      <c r="L234" s="307"/>
      <c r="M234" s="154">
        <f>SUM(M225:M233)</f>
        <v>0</v>
      </c>
      <c r="N234" s="157"/>
      <c r="O234" s="157"/>
      <c r="P234" s="147" t="s">
        <v>102</v>
      </c>
      <c r="Q234" s="157">
        <f>SUM(Q225:Q233)</f>
        <v>0</v>
      </c>
      <c r="R234" s="152"/>
    </row>
    <row r="235" spans="1:18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  <c r="J235" s="149"/>
      <c r="K235" s="150"/>
      <c r="L235" s="147" t="s">
        <v>103</v>
      </c>
      <c r="M235" s="157">
        <f>M234-Q234</f>
        <v>0</v>
      </c>
      <c r="N235" s="157"/>
      <c r="O235" s="158" t="s">
        <v>104</v>
      </c>
      <c r="Q235" s="150"/>
      <c r="R235" s="152"/>
    </row>
    <row r="236" spans="1:18" ht="17.100000000000001" customHeight="1" x14ac:dyDescent="0.2">
      <c r="A236" s="149"/>
      <c r="B236" s="150"/>
      <c r="C236" s="307" t="str">
        <f>"("&amp;BAHTTEXT(D235)&amp;")"</f>
        <v>(ศูนย์บาทถ้วน)</v>
      </c>
      <c r="D236" s="307"/>
      <c r="E236" s="307"/>
      <c r="F236" s="307"/>
      <c r="G236" s="307"/>
      <c r="H236" s="150"/>
      <c r="I236" s="152"/>
      <c r="J236" s="149"/>
      <c r="K236" s="150"/>
      <c r="L236" s="307" t="str">
        <f>"("&amp;BAHTTEXT(M235)&amp;")"</f>
        <v>(ศูนย์บาทถ้วน)</v>
      </c>
      <c r="M236" s="307"/>
      <c r="N236" s="307"/>
      <c r="O236" s="307"/>
      <c r="P236" s="307"/>
      <c r="Q236" s="150"/>
      <c r="R236" s="152"/>
    </row>
    <row r="237" spans="1:18" ht="17.100000000000001" customHeight="1" x14ac:dyDescent="0.2">
      <c r="A237" s="149"/>
      <c r="B237" s="150"/>
      <c r="C237" s="147"/>
      <c r="D237" s="147"/>
      <c r="E237" s="147"/>
      <c r="F237" s="147"/>
      <c r="G237" s="147"/>
      <c r="H237" s="150"/>
      <c r="I237" s="152"/>
      <c r="J237" s="149"/>
      <c r="K237" s="150"/>
      <c r="L237" s="147"/>
      <c r="M237" s="147"/>
      <c r="N237" s="147"/>
      <c r="O237" s="147"/>
      <c r="P237" s="147"/>
      <c r="Q237" s="150"/>
      <c r="R237" s="152"/>
    </row>
    <row r="238" spans="1:18" ht="17.100000000000001" customHeight="1" x14ac:dyDescent="0.2">
      <c r="A238" s="149"/>
      <c r="B238" s="150"/>
      <c r="C238" s="150"/>
      <c r="D238" s="150"/>
      <c r="E238" s="150"/>
      <c r="F238" s="150"/>
      <c r="G238" s="150"/>
      <c r="H238" s="150"/>
      <c r="I238" s="152"/>
      <c r="J238" s="149"/>
      <c r="K238" s="150"/>
      <c r="L238" s="150"/>
      <c r="M238" s="150"/>
      <c r="N238" s="150"/>
      <c r="O238" s="150"/>
      <c r="P238" s="150"/>
      <c r="Q238" s="150"/>
      <c r="R238" s="152"/>
    </row>
    <row r="239" spans="1:18" ht="17.100000000000001" customHeight="1" x14ac:dyDescent="0.2">
      <c r="A239" s="149"/>
      <c r="I239" s="152"/>
      <c r="J239" s="149"/>
      <c r="R239" s="152"/>
    </row>
    <row r="240" spans="1:18" ht="17.100000000000001" customHeight="1" x14ac:dyDescent="0.2">
      <c r="A240" s="149"/>
      <c r="I240" s="152"/>
      <c r="J240" s="149"/>
      <c r="R240" s="152"/>
    </row>
    <row r="241" spans="1:18" ht="17.100000000000001" customHeight="1" x14ac:dyDescent="0.2">
      <c r="A241" s="308" t="s">
        <v>315</v>
      </c>
      <c r="B241" s="307"/>
      <c r="C241" s="307"/>
      <c r="D241" s="307"/>
      <c r="E241" s="307"/>
      <c r="F241" s="307"/>
      <c r="G241" s="307"/>
      <c r="H241" s="307"/>
      <c r="I241" s="309"/>
      <c r="J241" s="308" t="s">
        <v>315</v>
      </c>
      <c r="K241" s="307"/>
      <c r="L241" s="307"/>
      <c r="M241" s="307"/>
      <c r="N241" s="307"/>
      <c r="O241" s="307"/>
      <c r="P241" s="307"/>
      <c r="Q241" s="307"/>
      <c r="R241" s="309"/>
    </row>
    <row r="242" spans="1:18" ht="17.100000000000001" customHeight="1" x14ac:dyDescent="0.2">
      <c r="A242" s="310" t="s">
        <v>298</v>
      </c>
      <c r="B242" s="311"/>
      <c r="C242" s="311"/>
      <c r="D242" s="311"/>
      <c r="E242" s="311"/>
      <c r="F242" s="311"/>
      <c r="G242" s="311"/>
      <c r="H242" s="311"/>
      <c r="I242" s="312"/>
      <c r="J242" s="310" t="s">
        <v>298</v>
      </c>
      <c r="K242" s="311"/>
      <c r="L242" s="311"/>
      <c r="M242" s="311"/>
      <c r="N242" s="311"/>
      <c r="O242" s="311"/>
      <c r="P242" s="311"/>
      <c r="Q242" s="311"/>
      <c r="R242" s="312"/>
    </row>
    <row r="243" spans="1:18" ht="17.100000000000001" customHeight="1" x14ac:dyDescent="0.2">
      <c r="A243" s="313" t="str">
        <f>ขร1!A67</f>
        <v>โรงพยาบาลสามโคก  ประจำเดือน  พฤศจิกายน  2568</v>
      </c>
      <c r="B243" s="314"/>
      <c r="C243" s="314"/>
      <c r="D243" s="314"/>
      <c r="E243" s="314"/>
      <c r="F243" s="314"/>
      <c r="G243" s="314"/>
      <c r="H243" s="314"/>
      <c r="I243" s="315"/>
      <c r="J243" s="313" t="str">
        <f>ขร1!A1</f>
        <v>โรงพยาบาลสามโคก  ประจำเดือน  พฤศจิกายน  2568</v>
      </c>
      <c r="K243" s="314"/>
      <c r="L243" s="314"/>
      <c r="M243" s="314"/>
      <c r="N243" s="314"/>
      <c r="O243" s="314"/>
      <c r="P243" s="314"/>
      <c r="Q243" s="314"/>
      <c r="R243" s="315"/>
    </row>
    <row r="244" spans="1:18" ht="17.100000000000001" customHeight="1" x14ac:dyDescent="0.2">
      <c r="A244" s="308" t="s">
        <v>243</v>
      </c>
      <c r="B244" s="307"/>
      <c r="C244" s="307"/>
      <c r="D244" s="307"/>
      <c r="E244" s="307"/>
      <c r="F244" s="307"/>
      <c r="G244" s="307"/>
      <c r="H244" s="307"/>
      <c r="I244" s="309"/>
      <c r="J244" s="308" t="s">
        <v>305</v>
      </c>
      <c r="K244" s="307"/>
      <c r="L244" s="307"/>
      <c r="M244" s="307"/>
      <c r="N244" s="307"/>
      <c r="O244" s="307"/>
      <c r="P244" s="307"/>
      <c r="Q244" s="307"/>
      <c r="R244" s="309"/>
    </row>
    <row r="245" spans="1:18" ht="17.100000000000001" customHeight="1" x14ac:dyDescent="0.2">
      <c r="A245" s="149"/>
      <c r="B245" s="153"/>
      <c r="C245" s="150"/>
      <c r="D245" s="147"/>
      <c r="E245" s="147"/>
      <c r="F245" s="147"/>
      <c r="G245" s="150"/>
      <c r="H245" s="150"/>
      <c r="I245" s="152"/>
      <c r="J245" s="149"/>
      <c r="K245" s="153"/>
      <c r="L245" s="150"/>
      <c r="M245" s="147"/>
      <c r="N245" s="147"/>
      <c r="O245" s="147"/>
      <c r="P245" s="150"/>
      <c r="Q245" s="150"/>
      <c r="R245" s="163"/>
    </row>
    <row r="246" spans="1:18" ht="17.100000000000001" customHeight="1" x14ac:dyDescent="0.2">
      <c r="A246" s="149"/>
      <c r="B246" s="307" t="s">
        <v>9</v>
      </c>
      <c r="C246" s="307"/>
      <c r="D246" s="307"/>
      <c r="E246" s="147"/>
      <c r="F246" s="147"/>
      <c r="G246" s="307" t="s">
        <v>10</v>
      </c>
      <c r="H246" s="307"/>
      <c r="I246" s="152"/>
      <c r="J246" s="149"/>
      <c r="K246" s="307" t="s">
        <v>9</v>
      </c>
      <c r="L246" s="307"/>
      <c r="M246" s="307"/>
      <c r="N246" s="147"/>
      <c r="O246" s="147"/>
      <c r="P246" s="307" t="s">
        <v>10</v>
      </c>
      <c r="Q246" s="307"/>
      <c r="R246" s="148"/>
    </row>
    <row r="247" spans="1:18" ht="17.100000000000001" customHeight="1" x14ac:dyDescent="0.2">
      <c r="A247" s="149"/>
      <c r="B247" s="306" t="s">
        <v>3</v>
      </c>
      <c r="C247" s="306"/>
      <c r="D247" s="154">
        <f>ข้าราชการ!E19</f>
        <v>0</v>
      </c>
      <c r="E247" s="154"/>
      <c r="F247" s="155"/>
      <c r="G247" s="150" t="s">
        <v>99</v>
      </c>
      <c r="H247" s="154">
        <f>ข้าราชการ!N19</f>
        <v>0</v>
      </c>
      <c r="I247" s="152"/>
      <c r="J247" s="149"/>
      <c r="K247" s="306" t="s">
        <v>3</v>
      </c>
      <c r="L247" s="306"/>
      <c r="M247" s="154">
        <v>0</v>
      </c>
      <c r="N247" s="154"/>
      <c r="O247" s="155"/>
      <c r="P247" s="150" t="s">
        <v>99</v>
      </c>
      <c r="Q247" s="154">
        <v>0</v>
      </c>
      <c r="R247" s="164"/>
    </row>
    <row r="248" spans="1:18" ht="17.100000000000001" customHeight="1" x14ac:dyDescent="0.2">
      <c r="A248" s="149"/>
      <c r="B248" s="306" t="s">
        <v>106</v>
      </c>
      <c r="C248" s="306"/>
      <c r="D248" s="154">
        <f>ข้าราชการ!F19</f>
        <v>0</v>
      </c>
      <c r="E248" s="154"/>
      <c r="F248" s="155"/>
      <c r="G248" s="150" t="s">
        <v>53</v>
      </c>
      <c r="H248" s="154">
        <f>ข้าราชการ!O19</f>
        <v>0</v>
      </c>
      <c r="I248" s="152"/>
      <c r="J248" s="149"/>
      <c r="K248" s="306" t="s">
        <v>106</v>
      </c>
      <c r="L248" s="306"/>
      <c r="M248" s="154">
        <f>ข้าราชการ!F37</f>
        <v>0</v>
      </c>
      <c r="N248" s="154"/>
      <c r="O248" s="155"/>
      <c r="P248" s="150" t="s">
        <v>53</v>
      </c>
      <c r="Q248" s="154">
        <v>0</v>
      </c>
      <c r="R248" s="164"/>
    </row>
    <row r="249" spans="1:18" ht="17.100000000000001" customHeight="1" x14ac:dyDescent="0.2">
      <c r="A249" s="149"/>
      <c r="B249" s="306" t="s">
        <v>107</v>
      </c>
      <c r="C249" s="306"/>
      <c r="D249" s="154">
        <f>ข้าราชการ!G19</f>
        <v>0</v>
      </c>
      <c r="E249" s="154"/>
      <c r="F249" s="155"/>
      <c r="G249" s="150" t="s">
        <v>54</v>
      </c>
      <c r="H249" s="154">
        <f>ข้าราชการ!P19</f>
        <v>0</v>
      </c>
      <c r="I249" s="152"/>
      <c r="J249" s="149"/>
      <c r="K249" s="306" t="s">
        <v>107</v>
      </c>
      <c r="L249" s="306"/>
      <c r="M249" s="154">
        <f>ข้าราชการ!G37</f>
        <v>0</v>
      </c>
      <c r="N249" s="154"/>
      <c r="O249" s="155"/>
      <c r="P249" s="150" t="s">
        <v>54</v>
      </c>
      <c r="Q249" s="154">
        <v>0</v>
      </c>
      <c r="R249" s="164"/>
    </row>
    <row r="250" spans="1:18" ht="17.100000000000001" customHeight="1" x14ac:dyDescent="0.2">
      <c r="A250" s="149"/>
      <c r="B250" s="306" t="s">
        <v>105</v>
      </c>
      <c r="C250" s="306"/>
      <c r="D250" s="154">
        <f>ข้าราชการ!H19</f>
        <v>0</v>
      </c>
      <c r="E250" s="154"/>
      <c r="F250" s="155"/>
      <c r="G250" s="150" t="s">
        <v>100</v>
      </c>
      <c r="H250" s="154">
        <f>ข้าราชการ!Q19</f>
        <v>0</v>
      </c>
      <c r="I250" s="152"/>
      <c r="J250" s="149"/>
      <c r="K250" s="306" t="s">
        <v>105</v>
      </c>
      <c r="L250" s="306"/>
      <c r="M250" s="154">
        <f>ข้าราชการ!H33</f>
        <v>0</v>
      </c>
      <c r="N250" s="154"/>
      <c r="O250" s="155"/>
      <c r="P250" s="150" t="s">
        <v>100</v>
      </c>
      <c r="Q250" s="154">
        <f>ข้าราชการ!Q37</f>
        <v>0</v>
      </c>
      <c r="R250" s="164"/>
    </row>
    <row r="251" spans="1:18" ht="17.100000000000001" customHeight="1" x14ac:dyDescent="0.2">
      <c r="A251" s="149"/>
      <c r="B251" s="306" t="s">
        <v>291</v>
      </c>
      <c r="C251" s="306"/>
      <c r="D251" s="154">
        <f>ข้าราชการ!I19</f>
        <v>0</v>
      </c>
      <c r="E251" s="154"/>
      <c r="F251" s="155"/>
      <c r="G251" s="150" t="s">
        <v>55</v>
      </c>
      <c r="H251" s="156">
        <f>ข้าราชการ!R19</f>
        <v>0</v>
      </c>
      <c r="I251" s="152"/>
      <c r="J251" s="149"/>
      <c r="K251" s="306" t="s">
        <v>291</v>
      </c>
      <c r="L251" s="306"/>
      <c r="M251" s="154">
        <f>ข้าราชการ!I33</f>
        <v>0</v>
      </c>
      <c r="N251" s="154"/>
      <c r="O251" s="155"/>
      <c r="P251" s="150" t="s">
        <v>55</v>
      </c>
      <c r="Q251" s="156">
        <f>ข้าราชการ!R33</f>
        <v>0</v>
      </c>
      <c r="R251" s="165"/>
    </row>
    <row r="252" spans="1:18" ht="17.100000000000001" customHeight="1" x14ac:dyDescent="0.2">
      <c r="A252" s="149"/>
      <c r="B252" s="306" t="s">
        <v>662</v>
      </c>
      <c r="C252" s="306"/>
      <c r="D252" s="154">
        <f>ข้าราชการ!J19</f>
        <v>0</v>
      </c>
      <c r="E252" s="154"/>
      <c r="F252" s="155"/>
      <c r="G252" s="153" t="s">
        <v>137</v>
      </c>
      <c r="H252" s="156">
        <f>ข้าราชการ!S19</f>
        <v>0</v>
      </c>
      <c r="I252" s="152"/>
      <c r="J252" s="149"/>
      <c r="K252" s="306" t="s">
        <v>662</v>
      </c>
      <c r="L252" s="306"/>
      <c r="M252" s="154">
        <f>ข้าราชการ!J33</f>
        <v>0</v>
      </c>
      <c r="N252" s="154"/>
      <c r="O252" s="155"/>
      <c r="P252" s="153" t="s">
        <v>137</v>
      </c>
      <c r="Q252" s="156">
        <f>ข้าราชการ!S33</f>
        <v>0</v>
      </c>
      <c r="R252" s="165"/>
    </row>
    <row r="253" spans="1:18" ht="17.100000000000001" customHeight="1" x14ac:dyDescent="0.2">
      <c r="A253" s="149"/>
      <c r="B253" s="306" t="s">
        <v>5</v>
      </c>
      <c r="C253" s="306"/>
      <c r="D253" s="154">
        <f>ข้าราชการ!K19</f>
        <v>0</v>
      </c>
      <c r="E253" s="154"/>
      <c r="F253" s="155"/>
      <c r="G253" s="150" t="s">
        <v>56</v>
      </c>
      <c r="H253" s="156">
        <f>ข้าราชการ!T19</f>
        <v>0</v>
      </c>
      <c r="I253" s="152"/>
      <c r="J253" s="149"/>
      <c r="K253" s="306" t="s">
        <v>5</v>
      </c>
      <c r="L253" s="306"/>
      <c r="M253" s="154">
        <v>0</v>
      </c>
      <c r="N253" s="154"/>
      <c r="O253" s="155"/>
      <c r="P253" s="150" t="s">
        <v>56</v>
      </c>
      <c r="Q253" s="156">
        <f>ข้าราชการ!T33</f>
        <v>0</v>
      </c>
      <c r="R253" s="165"/>
    </row>
    <row r="254" spans="1:18" ht="17.100000000000001" customHeight="1" x14ac:dyDescent="0.2">
      <c r="A254" s="149"/>
      <c r="B254" s="150" t="s">
        <v>6</v>
      </c>
      <c r="C254" s="150"/>
      <c r="D254" s="154">
        <f>ข้าราชการ!L19</f>
        <v>0</v>
      </c>
      <c r="E254" s="154"/>
      <c r="F254" s="155"/>
      <c r="G254" s="150" t="s">
        <v>57</v>
      </c>
      <c r="H254" s="156">
        <f>ข้าราชการ!U19</f>
        <v>0</v>
      </c>
      <c r="I254" s="152"/>
      <c r="J254" s="149"/>
      <c r="K254" s="150" t="s">
        <v>6</v>
      </c>
      <c r="L254" s="150"/>
      <c r="M254" s="154">
        <v>0</v>
      </c>
      <c r="N254" s="154"/>
      <c r="O254" s="155"/>
      <c r="P254" s="150" t="s">
        <v>57</v>
      </c>
      <c r="Q254" s="156">
        <f>ข้าราชการ!U33</f>
        <v>0</v>
      </c>
      <c r="R254" s="165"/>
    </row>
    <row r="255" spans="1:18" ht="17.100000000000001" customHeight="1" x14ac:dyDescent="0.2">
      <c r="A255" s="149"/>
      <c r="B255" s="306" t="s">
        <v>7</v>
      </c>
      <c r="C255" s="306"/>
      <c r="D255" s="154">
        <f>ข้าราชการ!M19</f>
        <v>0</v>
      </c>
      <c r="E255" s="154"/>
      <c r="F255" s="155"/>
      <c r="G255" s="150"/>
      <c r="H255" s="154"/>
      <c r="I255" s="152"/>
      <c r="J255" s="149"/>
      <c r="K255" s="306" t="s">
        <v>7</v>
      </c>
      <c r="L255" s="306"/>
      <c r="M255" s="154">
        <v>0</v>
      </c>
      <c r="N255" s="154"/>
      <c r="O255" s="155"/>
      <c r="P255" s="150"/>
      <c r="Q255" s="154"/>
      <c r="R255" s="164"/>
    </row>
    <row r="256" spans="1:18" ht="17.100000000000001" customHeight="1" x14ac:dyDescent="0.2">
      <c r="A256" s="149"/>
      <c r="B256" s="307" t="s">
        <v>101</v>
      </c>
      <c r="C256" s="307"/>
      <c r="D256" s="154">
        <f>SUM(D247:D255)</f>
        <v>0</v>
      </c>
      <c r="E256" s="154"/>
      <c r="F256" s="157"/>
      <c r="G256" s="147" t="s">
        <v>102</v>
      </c>
      <c r="H256" s="157">
        <f>SUM(H247:H255)</f>
        <v>0</v>
      </c>
      <c r="I256" s="152"/>
      <c r="J256" s="149"/>
      <c r="K256" s="307" t="s">
        <v>101</v>
      </c>
      <c r="L256" s="307"/>
      <c r="M256" s="154">
        <f>SUM(M247:M255)</f>
        <v>0</v>
      </c>
      <c r="N256" s="154"/>
      <c r="O256" s="157"/>
      <c r="P256" s="147" t="s">
        <v>102</v>
      </c>
      <c r="Q256" s="157">
        <f>SUM(Q247:Q255)</f>
        <v>0</v>
      </c>
      <c r="R256" s="166"/>
    </row>
    <row r="257" spans="1:18" ht="17.100000000000001" customHeight="1" x14ac:dyDescent="0.2">
      <c r="A257" s="149"/>
      <c r="B257" s="150"/>
      <c r="C257" s="147" t="s">
        <v>103</v>
      </c>
      <c r="D257" s="157">
        <f>D256-H256</f>
        <v>0</v>
      </c>
      <c r="E257" s="157"/>
      <c r="F257" s="158" t="s">
        <v>104</v>
      </c>
      <c r="H257" s="150"/>
      <c r="I257" s="152"/>
      <c r="J257" s="149"/>
      <c r="K257" s="150"/>
      <c r="L257" s="147" t="s">
        <v>103</v>
      </c>
      <c r="M257" s="157">
        <f>M256-Q256</f>
        <v>0</v>
      </c>
      <c r="N257" s="157"/>
      <c r="O257" s="158" t="s">
        <v>104</v>
      </c>
      <c r="Q257" s="150"/>
      <c r="R257" s="163"/>
    </row>
    <row r="258" spans="1:18" ht="17.100000000000001" customHeight="1" x14ac:dyDescent="0.2">
      <c r="A258" s="149"/>
      <c r="B258" s="150"/>
      <c r="C258" s="307" t="str">
        <f>"("&amp;BAHTTEXT(D257)&amp;")"</f>
        <v>(ศูนย์บาทถ้วน)</v>
      </c>
      <c r="D258" s="307"/>
      <c r="E258" s="307"/>
      <c r="F258" s="307"/>
      <c r="G258" s="307"/>
      <c r="H258" s="150"/>
      <c r="I258" s="152"/>
      <c r="J258" s="149"/>
      <c r="K258" s="150"/>
      <c r="L258" s="307" t="str">
        <f>"("&amp;BAHTTEXT(M257)&amp;")"</f>
        <v>(ศูนย์บาทถ้วน)</v>
      </c>
      <c r="M258" s="307"/>
      <c r="N258" s="307"/>
      <c r="O258" s="307"/>
      <c r="P258" s="307"/>
      <c r="Q258" s="150"/>
      <c r="R258" s="148"/>
    </row>
    <row r="259" spans="1:18" ht="17.100000000000001" customHeight="1" x14ac:dyDescent="0.2">
      <c r="A259" s="149"/>
      <c r="B259" s="150"/>
      <c r="C259" s="147"/>
      <c r="D259" s="147"/>
      <c r="E259" s="147"/>
      <c r="F259" s="147"/>
      <c r="G259" s="147"/>
      <c r="H259" s="150"/>
      <c r="I259" s="152"/>
      <c r="J259" s="149"/>
      <c r="K259" s="150"/>
      <c r="L259" s="147"/>
      <c r="M259" s="147"/>
      <c r="N259" s="147"/>
      <c r="O259" s="147"/>
      <c r="P259" s="147"/>
      <c r="Q259" s="150"/>
      <c r="R259" s="148"/>
    </row>
    <row r="260" spans="1:18" ht="17.100000000000001" customHeight="1" x14ac:dyDescent="0.2">
      <c r="A260" s="149"/>
      <c r="B260" s="150"/>
      <c r="C260" s="150"/>
      <c r="D260" s="150"/>
      <c r="E260" s="150"/>
      <c r="F260" s="150"/>
      <c r="G260" s="150"/>
      <c r="H260" s="150"/>
      <c r="I260" s="152"/>
      <c r="J260" s="149"/>
      <c r="K260" s="150"/>
      <c r="L260" s="150"/>
      <c r="M260" s="150"/>
      <c r="N260" s="150"/>
      <c r="O260" s="150"/>
      <c r="P260" s="150"/>
      <c r="Q260" s="150"/>
      <c r="R260" s="163"/>
    </row>
    <row r="261" spans="1:18" ht="17.100000000000001" customHeight="1" x14ac:dyDescent="0.2">
      <c r="A261" s="149"/>
      <c r="I261" s="152"/>
      <c r="J261" s="149"/>
      <c r="R261" s="148"/>
    </row>
    <row r="262" spans="1:18" ht="17.100000000000001" customHeight="1" x14ac:dyDescent="0.2">
      <c r="A262" s="149"/>
      <c r="I262" s="152"/>
      <c r="J262" s="149"/>
      <c r="R262" s="152"/>
    </row>
    <row r="263" spans="1:18" ht="17.100000000000001" customHeight="1" x14ac:dyDescent="0.2">
      <c r="A263" s="308" t="s">
        <v>315</v>
      </c>
      <c r="B263" s="307"/>
      <c r="C263" s="307"/>
      <c r="D263" s="307"/>
      <c r="E263" s="307"/>
      <c r="F263" s="307"/>
      <c r="G263" s="307"/>
      <c r="H263" s="307"/>
      <c r="I263" s="309"/>
      <c r="J263" s="308" t="s">
        <v>315</v>
      </c>
      <c r="K263" s="307"/>
      <c r="L263" s="307"/>
      <c r="M263" s="307"/>
      <c r="N263" s="307"/>
      <c r="O263" s="307"/>
      <c r="P263" s="307"/>
      <c r="Q263" s="307"/>
      <c r="R263" s="309"/>
    </row>
    <row r="264" spans="1:18" ht="17.100000000000001" customHeight="1" x14ac:dyDescent="0.2">
      <c r="A264" s="310" t="s">
        <v>298</v>
      </c>
      <c r="B264" s="311"/>
      <c r="C264" s="311"/>
      <c r="D264" s="311"/>
      <c r="E264" s="311"/>
      <c r="F264" s="311"/>
      <c r="G264" s="311"/>
      <c r="H264" s="311"/>
      <c r="I264" s="312"/>
      <c r="J264" s="310" t="s">
        <v>298</v>
      </c>
      <c r="K264" s="311"/>
      <c r="L264" s="311"/>
      <c r="M264" s="311"/>
      <c r="N264" s="311"/>
      <c r="O264" s="311"/>
      <c r="P264" s="311"/>
      <c r="Q264" s="311"/>
      <c r="R264" s="312"/>
    </row>
  </sheetData>
  <mergeCells count="380">
    <mergeCell ref="A153:I153"/>
    <mergeCell ref="A154:I154"/>
    <mergeCell ref="A133:I133"/>
    <mergeCell ref="A134:I134"/>
    <mergeCell ref="B136:D136"/>
    <mergeCell ref="G136:H136"/>
    <mergeCell ref="B137:C137"/>
    <mergeCell ref="B138:C138"/>
    <mergeCell ref="B139:C139"/>
    <mergeCell ref="B140:C140"/>
    <mergeCell ref="B141:C141"/>
    <mergeCell ref="C104:G104"/>
    <mergeCell ref="B74:C74"/>
    <mergeCell ref="B55:C55"/>
    <mergeCell ref="B142:C142"/>
    <mergeCell ref="B143:C143"/>
    <mergeCell ref="B145:C145"/>
    <mergeCell ref="B146:C146"/>
    <mergeCell ref="C148:G148"/>
    <mergeCell ref="J110:R110"/>
    <mergeCell ref="A66:I66"/>
    <mergeCell ref="J109:R109"/>
    <mergeCell ref="B72:C72"/>
    <mergeCell ref="B73:C73"/>
    <mergeCell ref="B79:C79"/>
    <mergeCell ref="C82:G82"/>
    <mergeCell ref="B80:C80"/>
    <mergeCell ref="A67:I67"/>
    <mergeCell ref="A87:I87"/>
    <mergeCell ref="A88:I88"/>
    <mergeCell ref="B93:C93"/>
    <mergeCell ref="A89:I89"/>
    <mergeCell ref="K101:L101"/>
    <mergeCell ref="K93:L93"/>
    <mergeCell ref="B77:C77"/>
    <mergeCell ref="G48:H48"/>
    <mergeCell ref="B49:C49"/>
    <mergeCell ref="B50:C50"/>
    <mergeCell ref="B57:C57"/>
    <mergeCell ref="B58:C58"/>
    <mergeCell ref="C60:G60"/>
    <mergeCell ref="A65:I65"/>
    <mergeCell ref="K58:L58"/>
    <mergeCell ref="K57:L57"/>
    <mergeCell ref="L60:P60"/>
    <mergeCell ref="J65:R65"/>
    <mergeCell ref="B98:C98"/>
    <mergeCell ref="B99:C99"/>
    <mergeCell ref="B94:C94"/>
    <mergeCell ref="B95:C95"/>
    <mergeCell ref="B96:C96"/>
    <mergeCell ref="B92:D92"/>
    <mergeCell ref="A90:I90"/>
    <mergeCell ref="K95:L95"/>
    <mergeCell ref="K94:L94"/>
    <mergeCell ref="K97:L97"/>
    <mergeCell ref="K92:M92"/>
    <mergeCell ref="K99:L99"/>
    <mergeCell ref="A68:I68"/>
    <mergeCell ref="B76:C76"/>
    <mergeCell ref="B75:C75"/>
    <mergeCell ref="B13:C13"/>
    <mergeCell ref="A22:I22"/>
    <mergeCell ref="A45:I45"/>
    <mergeCell ref="B52:C52"/>
    <mergeCell ref="A23:I23"/>
    <mergeCell ref="B27:C27"/>
    <mergeCell ref="B28:C28"/>
    <mergeCell ref="B29:C29"/>
    <mergeCell ref="B30:C30"/>
    <mergeCell ref="B31:C31"/>
    <mergeCell ref="B32:C32"/>
    <mergeCell ref="B35:C35"/>
    <mergeCell ref="A43:I43"/>
    <mergeCell ref="A24:I24"/>
    <mergeCell ref="B70:D70"/>
    <mergeCell ref="G70:H70"/>
    <mergeCell ref="B71:C71"/>
    <mergeCell ref="B53:C53"/>
    <mergeCell ref="B54:C54"/>
    <mergeCell ref="B51:C51"/>
    <mergeCell ref="B48:D48"/>
    <mergeCell ref="A1:I1"/>
    <mergeCell ref="A2:I2"/>
    <mergeCell ref="B10:C10"/>
    <mergeCell ref="B11:C11"/>
    <mergeCell ref="A46:I46"/>
    <mergeCell ref="B4:D4"/>
    <mergeCell ref="G4:H4"/>
    <mergeCell ref="B8:C8"/>
    <mergeCell ref="B9:C9"/>
    <mergeCell ref="B5:C5"/>
    <mergeCell ref="B6:C6"/>
    <mergeCell ref="B26:D26"/>
    <mergeCell ref="G26:H26"/>
    <mergeCell ref="B33:C33"/>
    <mergeCell ref="B36:C36"/>
    <mergeCell ref="C38:G38"/>
    <mergeCell ref="A44:I44"/>
    <mergeCell ref="C16:G16"/>
    <mergeCell ref="B14:C14"/>
    <mergeCell ref="A21:I21"/>
    <mergeCell ref="B7:C7"/>
    <mergeCell ref="A110:I110"/>
    <mergeCell ref="A109:I109"/>
    <mergeCell ref="G92:H92"/>
    <mergeCell ref="B101:C101"/>
    <mergeCell ref="B97:C97"/>
    <mergeCell ref="B102:C102"/>
    <mergeCell ref="B202:D202"/>
    <mergeCell ref="G202:H202"/>
    <mergeCell ref="C170:G170"/>
    <mergeCell ref="A176:I176"/>
    <mergeCell ref="C192:G192"/>
    <mergeCell ref="B197:H197"/>
    <mergeCell ref="B198:H198"/>
    <mergeCell ref="B182:C182"/>
    <mergeCell ref="B180:D180"/>
    <mergeCell ref="G180:H180"/>
    <mergeCell ref="B181:C181"/>
    <mergeCell ref="A177:I177"/>
    <mergeCell ref="A178:I178"/>
    <mergeCell ref="B184:C184"/>
    <mergeCell ref="B185:C185"/>
    <mergeCell ref="B189:C189"/>
    <mergeCell ref="B183:C183"/>
    <mergeCell ref="B190:C190"/>
    <mergeCell ref="B163:C163"/>
    <mergeCell ref="B164:C164"/>
    <mergeCell ref="B158:D158"/>
    <mergeCell ref="A175:I175"/>
    <mergeCell ref="B168:C168"/>
    <mergeCell ref="B161:C161"/>
    <mergeCell ref="B203:C203"/>
    <mergeCell ref="B204:C204"/>
    <mergeCell ref="B205:C205"/>
    <mergeCell ref="A199:I199"/>
    <mergeCell ref="A200:I200"/>
    <mergeCell ref="B246:D246"/>
    <mergeCell ref="G246:H246"/>
    <mergeCell ref="B247:C247"/>
    <mergeCell ref="B226:C226"/>
    <mergeCell ref="B227:C227"/>
    <mergeCell ref="A221:I221"/>
    <mergeCell ref="A222:I222"/>
    <mergeCell ref="B224:D224"/>
    <mergeCell ref="C214:G214"/>
    <mergeCell ref="A243:I243"/>
    <mergeCell ref="A242:I242"/>
    <mergeCell ref="B234:C234"/>
    <mergeCell ref="C236:G236"/>
    <mergeCell ref="A241:I241"/>
    <mergeCell ref="B231:C231"/>
    <mergeCell ref="B233:C233"/>
    <mergeCell ref="B228:C228"/>
    <mergeCell ref="B229:C229"/>
    <mergeCell ref="B230:C230"/>
    <mergeCell ref="G224:H224"/>
    <mergeCell ref="B219:H219"/>
    <mergeCell ref="B220:H220"/>
    <mergeCell ref="B225:C225"/>
    <mergeCell ref="A264:I264"/>
    <mergeCell ref="B255:C255"/>
    <mergeCell ref="B256:C256"/>
    <mergeCell ref="C258:G258"/>
    <mergeCell ref="B253:C253"/>
    <mergeCell ref="B249:C249"/>
    <mergeCell ref="B248:C248"/>
    <mergeCell ref="A263:I263"/>
    <mergeCell ref="B251:C251"/>
    <mergeCell ref="B252:C252"/>
    <mergeCell ref="B250:C250"/>
    <mergeCell ref="J1:R1"/>
    <mergeCell ref="A244:I244"/>
    <mergeCell ref="K5:L5"/>
    <mergeCell ref="K6:L6"/>
    <mergeCell ref="K4:M4"/>
    <mergeCell ref="P4:Q4"/>
    <mergeCell ref="K7:L7"/>
    <mergeCell ref="K8:L8"/>
    <mergeCell ref="K11:L11"/>
    <mergeCell ref="J21:R21"/>
    <mergeCell ref="J178:R178"/>
    <mergeCell ref="J200:R200"/>
    <mergeCell ref="B211:C211"/>
    <mergeCell ref="B212:C212"/>
    <mergeCell ref="B206:C206"/>
    <mergeCell ref="B207:C207"/>
    <mergeCell ref="B208:C208"/>
    <mergeCell ref="B209:C209"/>
    <mergeCell ref="B165:C165"/>
    <mergeCell ref="A155:I155"/>
    <mergeCell ref="A156:I156"/>
    <mergeCell ref="B186:C186"/>
    <mergeCell ref="B187:C187"/>
    <mergeCell ref="B162:C162"/>
    <mergeCell ref="J24:R24"/>
    <mergeCell ref="K51:L51"/>
    <mergeCell ref="K52:L52"/>
    <mergeCell ref="K43:Q43"/>
    <mergeCell ref="L38:P38"/>
    <mergeCell ref="K49:L49"/>
    <mergeCell ref="K50:L50"/>
    <mergeCell ref="J23:R23"/>
    <mergeCell ref="J2:R2"/>
    <mergeCell ref="K30:L30"/>
    <mergeCell ref="K31:L31"/>
    <mergeCell ref="K32:L32"/>
    <mergeCell ref="K28:L28"/>
    <mergeCell ref="K29:L29"/>
    <mergeCell ref="K35:L35"/>
    <mergeCell ref="K36:L36"/>
    <mergeCell ref="K33:L33"/>
    <mergeCell ref="P26:Q26"/>
    <mergeCell ref="L16:P16"/>
    <mergeCell ref="K22:Q22"/>
    <mergeCell ref="K9:L9"/>
    <mergeCell ref="K10:L10"/>
    <mergeCell ref="K14:L14"/>
    <mergeCell ref="K13:L13"/>
    <mergeCell ref="J89:R89"/>
    <mergeCell ref="J68:R68"/>
    <mergeCell ref="P92:Q92"/>
    <mergeCell ref="J111:R111"/>
    <mergeCell ref="K44:Q44"/>
    <mergeCell ref="K98:L98"/>
    <mergeCell ref="K115:L115"/>
    <mergeCell ref="K102:L102"/>
    <mergeCell ref="J112:R112"/>
    <mergeCell ref="K96:L96"/>
    <mergeCell ref="J90:Q90"/>
    <mergeCell ref="J66:R66"/>
    <mergeCell ref="K75:L75"/>
    <mergeCell ref="K76:L76"/>
    <mergeCell ref="K77:L77"/>
    <mergeCell ref="K79:L79"/>
    <mergeCell ref="K80:L80"/>
    <mergeCell ref="L82:P82"/>
    <mergeCell ref="J87:R87"/>
    <mergeCell ref="J88:R88"/>
    <mergeCell ref="J67:R67"/>
    <mergeCell ref="J46:R46"/>
    <mergeCell ref="K70:M70"/>
    <mergeCell ref="P70:Q70"/>
    <mergeCell ref="K71:L71"/>
    <mergeCell ref="K72:L72"/>
    <mergeCell ref="K73:L73"/>
    <mergeCell ref="K74:L74"/>
    <mergeCell ref="K26:M26"/>
    <mergeCell ref="K27:L27"/>
    <mergeCell ref="K48:M48"/>
    <mergeCell ref="P48:Q48"/>
    <mergeCell ref="J45:R45"/>
    <mergeCell ref="K53:L53"/>
    <mergeCell ref="K54:L54"/>
    <mergeCell ref="K55:L55"/>
    <mergeCell ref="L104:P104"/>
    <mergeCell ref="K114:M114"/>
    <mergeCell ref="P114:Q114"/>
    <mergeCell ref="K123:L123"/>
    <mergeCell ref="P136:Q136"/>
    <mergeCell ref="K120:L120"/>
    <mergeCell ref="J133:R133"/>
    <mergeCell ref="K136:M136"/>
    <mergeCell ref="L126:P126"/>
    <mergeCell ref="K117:L117"/>
    <mergeCell ref="K119:L119"/>
    <mergeCell ref="K118:L118"/>
    <mergeCell ref="K116:L116"/>
    <mergeCell ref="K121:L121"/>
    <mergeCell ref="J134:R134"/>
    <mergeCell ref="K124:L124"/>
    <mergeCell ref="K131:Q131"/>
    <mergeCell ref="K132:Q132"/>
    <mergeCell ref="K183:L183"/>
    <mergeCell ref="K180:M180"/>
    <mergeCell ref="K205:L205"/>
    <mergeCell ref="J175:R175"/>
    <mergeCell ref="J176:R176"/>
    <mergeCell ref="J177:R177"/>
    <mergeCell ref="K186:L186"/>
    <mergeCell ref="J198:R198"/>
    <mergeCell ref="K189:L189"/>
    <mergeCell ref="K202:M202"/>
    <mergeCell ref="P202:Q202"/>
    <mergeCell ref="J156:R156"/>
    <mergeCell ref="K168:L168"/>
    <mergeCell ref="L170:P170"/>
    <mergeCell ref="K228:L228"/>
    <mergeCell ref="P158:Q158"/>
    <mergeCell ref="K159:L159"/>
    <mergeCell ref="K160:L160"/>
    <mergeCell ref="K161:L161"/>
    <mergeCell ref="K158:M158"/>
    <mergeCell ref="J220:R220"/>
    <mergeCell ref="J199:R199"/>
    <mergeCell ref="J197:R197"/>
    <mergeCell ref="K181:L181"/>
    <mergeCell ref="K182:L182"/>
    <mergeCell ref="P180:Q180"/>
    <mergeCell ref="K187:L187"/>
    <mergeCell ref="K184:L184"/>
    <mergeCell ref="K185:L185"/>
    <mergeCell ref="K165:L165"/>
    <mergeCell ref="K167:L167"/>
    <mergeCell ref="K162:L162"/>
    <mergeCell ref="K163:L163"/>
    <mergeCell ref="K164:L164"/>
    <mergeCell ref="K212:L212"/>
    <mergeCell ref="J155:R155"/>
    <mergeCell ref="K137:L137"/>
    <mergeCell ref="K138:L138"/>
    <mergeCell ref="K139:L139"/>
    <mergeCell ref="K140:L140"/>
    <mergeCell ref="K141:L141"/>
    <mergeCell ref="K143:L143"/>
    <mergeCell ref="K145:L145"/>
    <mergeCell ref="K146:L146"/>
    <mergeCell ref="K154:Q154"/>
    <mergeCell ref="L148:P148"/>
    <mergeCell ref="K153:Q153"/>
    <mergeCell ref="K142:L142"/>
    <mergeCell ref="K208:L208"/>
    <mergeCell ref="K211:L211"/>
    <mergeCell ref="J241:R241"/>
    <mergeCell ref="K203:L203"/>
    <mergeCell ref="K204:L204"/>
    <mergeCell ref="K190:L190"/>
    <mergeCell ref="L192:P192"/>
    <mergeCell ref="J221:R221"/>
    <mergeCell ref="K225:L225"/>
    <mergeCell ref="K226:L226"/>
    <mergeCell ref="K227:L227"/>
    <mergeCell ref="L214:P214"/>
    <mergeCell ref="K209:L209"/>
    <mergeCell ref="K206:L206"/>
    <mergeCell ref="K207:L207"/>
    <mergeCell ref="K234:L234"/>
    <mergeCell ref="J264:R264"/>
    <mergeCell ref="K253:L253"/>
    <mergeCell ref="K255:L255"/>
    <mergeCell ref="K250:L250"/>
    <mergeCell ref="K251:L251"/>
    <mergeCell ref="K252:L252"/>
    <mergeCell ref="J263:R263"/>
    <mergeCell ref="K247:L247"/>
    <mergeCell ref="K248:L248"/>
    <mergeCell ref="K249:L249"/>
    <mergeCell ref="K246:M246"/>
    <mergeCell ref="P246:Q246"/>
    <mergeCell ref="K256:L256"/>
    <mergeCell ref="L258:P258"/>
    <mergeCell ref="J219:R219"/>
    <mergeCell ref="K233:L233"/>
    <mergeCell ref="J243:R243"/>
    <mergeCell ref="K231:L231"/>
    <mergeCell ref="J222:R222"/>
    <mergeCell ref="L236:P236"/>
    <mergeCell ref="K224:M224"/>
    <mergeCell ref="P224:Q224"/>
    <mergeCell ref="K229:L229"/>
    <mergeCell ref="K230:L230"/>
    <mergeCell ref="J242:R242"/>
    <mergeCell ref="J244:R244"/>
    <mergeCell ref="B123:C123"/>
    <mergeCell ref="B124:C124"/>
    <mergeCell ref="C126:G126"/>
    <mergeCell ref="A131:I131"/>
    <mergeCell ref="A132:I132"/>
    <mergeCell ref="B119:C119"/>
    <mergeCell ref="A111:I111"/>
    <mergeCell ref="A112:I112"/>
    <mergeCell ref="B114:D114"/>
    <mergeCell ref="G114:H114"/>
    <mergeCell ref="B115:C115"/>
    <mergeCell ref="B116:C116"/>
    <mergeCell ref="B117:C117"/>
    <mergeCell ref="B118:C118"/>
    <mergeCell ref="B120:C120"/>
    <mergeCell ref="B121:C121"/>
  </mergeCells>
  <phoneticPr fontId="20" type="noConversion"/>
  <pageMargins left="0.23622047244094491" right="0" top="0.31496062992125984" bottom="0" header="0" footer="0"/>
  <pageSetup paperSize="1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R242"/>
  <sheetViews>
    <sheetView topLeftCell="A202" zoomScale="80" zoomScaleNormal="80" workbookViewId="0">
      <selection activeCell="K209" sqref="K209:L209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10" width="5.625" style="145" customWidth="1"/>
    <col min="11" max="11" width="3.75" style="145" customWidth="1"/>
    <col min="12" max="12" width="21.625" style="145" customWidth="1"/>
    <col min="13" max="13" width="12.625" style="145" customWidth="1"/>
    <col min="14" max="15" width="3.625" style="145" customWidth="1"/>
    <col min="16" max="16" width="24.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313" t="str">
        <f>ขร1!A1</f>
        <v>โรงพยาบาลสามโคก  ประจำเดือน  พฤศจิกายน  2568</v>
      </c>
      <c r="B1" s="314"/>
      <c r="C1" s="314"/>
      <c r="D1" s="314"/>
      <c r="E1" s="314"/>
      <c r="F1" s="314"/>
      <c r="G1" s="314"/>
      <c r="H1" s="314"/>
      <c r="I1" s="315"/>
      <c r="J1" s="313" t="str">
        <f>ขร1!J243</f>
        <v>โรงพยาบาลสามโคก  ประจำเดือน  พฤศจิกายน  2568</v>
      </c>
      <c r="K1" s="314"/>
      <c r="L1" s="314"/>
      <c r="M1" s="314"/>
      <c r="N1" s="314"/>
      <c r="O1" s="314"/>
      <c r="P1" s="314"/>
      <c r="Q1" s="314"/>
      <c r="R1" s="315"/>
    </row>
    <row r="2" spans="1:18" ht="17.100000000000001" customHeight="1" x14ac:dyDescent="0.2">
      <c r="A2" s="308" t="s">
        <v>248</v>
      </c>
      <c r="B2" s="307"/>
      <c r="C2" s="307"/>
      <c r="D2" s="307"/>
      <c r="E2" s="307"/>
      <c r="F2" s="307"/>
      <c r="G2" s="307"/>
      <c r="H2" s="307"/>
      <c r="I2" s="309"/>
      <c r="J2" s="308" t="s">
        <v>254</v>
      </c>
      <c r="K2" s="307"/>
      <c r="L2" s="307"/>
      <c r="M2" s="307"/>
      <c r="N2" s="307"/>
      <c r="O2" s="307"/>
      <c r="P2" s="307"/>
      <c r="Q2" s="307"/>
    </row>
    <row r="3" spans="1:18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63"/>
      <c r="J3" s="149"/>
      <c r="K3" s="153"/>
      <c r="L3" s="150"/>
      <c r="M3" s="147"/>
      <c r="N3" s="147"/>
      <c r="O3" s="147"/>
      <c r="P3" s="150"/>
      <c r="Q3" s="150"/>
      <c r="R3" s="163"/>
    </row>
    <row r="4" spans="1:18" ht="17.100000000000001" customHeight="1" x14ac:dyDescent="0.2">
      <c r="A4" s="149"/>
      <c r="B4" s="307" t="s">
        <v>9</v>
      </c>
      <c r="C4" s="307"/>
      <c r="D4" s="307"/>
      <c r="E4" s="147"/>
      <c r="F4" s="147"/>
      <c r="G4" s="307" t="s">
        <v>10</v>
      </c>
      <c r="H4" s="307"/>
      <c r="I4" s="148"/>
      <c r="J4" s="149"/>
      <c r="K4" s="307" t="s">
        <v>9</v>
      </c>
      <c r="L4" s="307"/>
      <c r="M4" s="307"/>
      <c r="N4" s="147"/>
      <c r="O4" s="147"/>
      <c r="P4" s="307" t="s">
        <v>10</v>
      </c>
      <c r="Q4" s="307"/>
      <c r="R4" s="148"/>
    </row>
    <row r="5" spans="1:18" ht="17.100000000000001" customHeight="1" x14ac:dyDescent="0.2">
      <c r="A5" s="149"/>
      <c r="B5" s="306" t="s">
        <v>3</v>
      </c>
      <c r="C5" s="306"/>
      <c r="D5" s="154">
        <f>ข้าราชการ!E32</f>
        <v>0</v>
      </c>
      <c r="E5" s="154"/>
      <c r="F5" s="155"/>
      <c r="G5" s="150" t="s">
        <v>99</v>
      </c>
      <c r="H5" s="154">
        <f>ข้าราชการ!N32</f>
        <v>0</v>
      </c>
      <c r="I5" s="164"/>
      <c r="J5" s="149"/>
      <c r="K5" s="306" t="s">
        <v>3</v>
      </c>
      <c r="L5" s="306"/>
      <c r="M5" s="154">
        <f>ข้าราชการ!E45</f>
        <v>0</v>
      </c>
      <c r="N5" s="154"/>
      <c r="O5" s="155"/>
      <c r="P5" s="150" t="s">
        <v>99</v>
      </c>
      <c r="Q5" s="154">
        <f>ข้าราชการ!N45</f>
        <v>0</v>
      </c>
      <c r="R5" s="164"/>
    </row>
    <row r="6" spans="1:18" ht="17.100000000000001" customHeight="1" x14ac:dyDescent="0.2">
      <c r="A6" s="149"/>
      <c r="B6" s="306" t="s">
        <v>106</v>
      </c>
      <c r="C6" s="306"/>
      <c r="D6" s="154">
        <f>ข้าราชการ!F32</f>
        <v>0</v>
      </c>
      <c r="E6" s="154"/>
      <c r="F6" s="155"/>
      <c r="G6" s="150" t="s">
        <v>53</v>
      </c>
      <c r="H6" s="154">
        <f>ข้าราชการ!O32</f>
        <v>0</v>
      </c>
      <c r="I6" s="164"/>
      <c r="J6" s="149"/>
      <c r="K6" s="306" t="s">
        <v>106</v>
      </c>
      <c r="L6" s="306"/>
      <c r="M6" s="154">
        <f>ข้าราชการ!F45</f>
        <v>0</v>
      </c>
      <c r="N6" s="154"/>
      <c r="O6" s="155"/>
      <c r="P6" s="150" t="s">
        <v>53</v>
      </c>
      <c r="Q6" s="154">
        <f>ข้าราชการ!O45</f>
        <v>0</v>
      </c>
      <c r="R6" s="164"/>
    </row>
    <row r="7" spans="1:18" ht="17.100000000000001" customHeight="1" x14ac:dyDescent="0.2">
      <c r="A7" s="149"/>
      <c r="B7" s="306" t="s">
        <v>107</v>
      </c>
      <c r="C7" s="306"/>
      <c r="D7" s="154">
        <f>ข้าราชการ!G32</f>
        <v>0</v>
      </c>
      <c r="E7" s="154"/>
      <c r="F7" s="155"/>
      <c r="G7" s="150" t="s">
        <v>54</v>
      </c>
      <c r="H7" s="154">
        <f>ข้าราชการ!P32</f>
        <v>0</v>
      </c>
      <c r="I7" s="164"/>
      <c r="J7" s="149"/>
      <c r="K7" s="306" t="s">
        <v>107</v>
      </c>
      <c r="L7" s="306"/>
      <c r="M7" s="154">
        <f>ข้าราชการ!G45</f>
        <v>0</v>
      </c>
      <c r="N7" s="154"/>
      <c r="O7" s="155"/>
      <c r="P7" s="150" t="s">
        <v>54</v>
      </c>
      <c r="Q7" s="154">
        <f>ข้าราชการ!P45</f>
        <v>0</v>
      </c>
      <c r="R7" s="164"/>
    </row>
    <row r="8" spans="1:18" ht="17.100000000000001" customHeight="1" x14ac:dyDescent="0.2">
      <c r="A8" s="149"/>
      <c r="B8" s="306" t="s">
        <v>105</v>
      </c>
      <c r="C8" s="306"/>
      <c r="D8" s="154">
        <f>ข้าราชการ!H34</f>
        <v>0</v>
      </c>
      <c r="E8" s="154"/>
      <c r="F8" s="155"/>
      <c r="G8" s="150" t="s">
        <v>100</v>
      </c>
      <c r="H8" s="154">
        <f>ข้าราชการ!Q32</f>
        <v>0</v>
      </c>
      <c r="I8" s="164"/>
      <c r="J8" s="149"/>
      <c r="K8" s="306" t="s">
        <v>105</v>
      </c>
      <c r="L8" s="306"/>
      <c r="M8" s="154">
        <f>ข้าราชการ!H47</f>
        <v>0</v>
      </c>
      <c r="N8" s="154"/>
      <c r="O8" s="155"/>
      <c r="P8" s="150" t="s">
        <v>100</v>
      </c>
      <c r="Q8" s="154">
        <f>ข้าราชการ!Q45</f>
        <v>0</v>
      </c>
      <c r="R8" s="164"/>
    </row>
    <row r="9" spans="1:18" ht="17.100000000000001" customHeight="1" x14ac:dyDescent="0.2">
      <c r="A9" s="149"/>
      <c r="B9" s="306" t="s">
        <v>291</v>
      </c>
      <c r="C9" s="306"/>
      <c r="D9" s="154">
        <f>ข้าราชการ!I34</f>
        <v>0</v>
      </c>
      <c r="E9" s="154"/>
      <c r="F9" s="155"/>
      <c r="G9" s="150" t="s">
        <v>55</v>
      </c>
      <c r="H9" s="156">
        <f>ข้าราชการ!R32</f>
        <v>0</v>
      </c>
      <c r="I9" s="165"/>
      <c r="J9" s="149"/>
      <c r="K9" s="306" t="s">
        <v>291</v>
      </c>
      <c r="L9" s="306"/>
      <c r="M9" s="154">
        <f>ข้าราชการ!I47</f>
        <v>0</v>
      </c>
      <c r="N9" s="154"/>
      <c r="O9" s="155"/>
      <c r="P9" s="150" t="s">
        <v>55</v>
      </c>
      <c r="Q9" s="156">
        <f>ข้าราชการ!R47</f>
        <v>0</v>
      </c>
      <c r="R9" s="165"/>
    </row>
    <row r="10" spans="1:18" ht="17.100000000000001" customHeight="1" x14ac:dyDescent="0.2">
      <c r="A10" s="149"/>
      <c r="B10" s="306" t="s">
        <v>662</v>
      </c>
      <c r="C10" s="306"/>
      <c r="D10" s="154">
        <f>ข้าราชการ!J34</f>
        <v>0</v>
      </c>
      <c r="E10" s="154"/>
      <c r="F10" s="155"/>
      <c r="G10" s="153" t="s">
        <v>137</v>
      </c>
      <c r="H10" s="156">
        <v>0</v>
      </c>
      <c r="I10" s="165"/>
      <c r="J10" s="149"/>
      <c r="K10" s="306" t="s">
        <v>662</v>
      </c>
      <c r="L10" s="306"/>
      <c r="M10" s="154">
        <f>ข้าราชการ!J47</f>
        <v>0</v>
      </c>
      <c r="N10" s="154"/>
      <c r="O10" s="155"/>
      <c r="P10" s="153" t="s">
        <v>137</v>
      </c>
      <c r="Q10" s="156">
        <f>ข้าราชการ!S47</f>
        <v>0</v>
      </c>
      <c r="R10" s="165"/>
    </row>
    <row r="11" spans="1:18" ht="17.100000000000001" customHeight="1" x14ac:dyDescent="0.2">
      <c r="A11" s="149"/>
      <c r="B11" s="306" t="s">
        <v>5</v>
      </c>
      <c r="C11" s="306"/>
      <c r="D11" s="154">
        <v>0</v>
      </c>
      <c r="E11" s="154"/>
      <c r="F11" s="155"/>
      <c r="G11" s="150" t="s">
        <v>56</v>
      </c>
      <c r="H11" s="156">
        <v>0</v>
      </c>
      <c r="I11" s="165"/>
      <c r="J11" s="149"/>
      <c r="K11" s="306" t="s">
        <v>5</v>
      </c>
      <c r="L11" s="306"/>
      <c r="M11" s="154">
        <f>ข้าราชการ!K45</f>
        <v>0</v>
      </c>
      <c r="N11" s="154"/>
      <c r="O11" s="155"/>
      <c r="P11" s="150" t="s">
        <v>56</v>
      </c>
      <c r="Q11" s="156">
        <f>ข้าราชการ!T47</f>
        <v>0</v>
      </c>
      <c r="R11" s="165"/>
    </row>
    <row r="12" spans="1:18" ht="17.100000000000001" customHeight="1" x14ac:dyDescent="0.2">
      <c r="A12" s="149"/>
      <c r="B12" s="150" t="s">
        <v>6</v>
      </c>
      <c r="C12" s="150"/>
      <c r="D12" s="154">
        <f>ข้าราชการ!L32</f>
        <v>0</v>
      </c>
      <c r="E12" s="154"/>
      <c r="F12" s="155"/>
      <c r="G12" s="150" t="s">
        <v>57</v>
      </c>
      <c r="H12" s="156">
        <v>0</v>
      </c>
      <c r="I12" s="165"/>
      <c r="J12" s="149"/>
      <c r="K12" s="150" t="s">
        <v>6</v>
      </c>
      <c r="L12" s="150"/>
      <c r="M12" s="154">
        <f>ข้าราชการ!L45</f>
        <v>0</v>
      </c>
      <c r="N12" s="154"/>
      <c r="O12" s="155"/>
      <c r="P12" s="150" t="s">
        <v>57</v>
      </c>
      <c r="Q12" s="156">
        <f>ข้าราชการ!U47</f>
        <v>0</v>
      </c>
      <c r="R12" s="165"/>
    </row>
    <row r="13" spans="1:18" ht="17.100000000000001" customHeight="1" x14ac:dyDescent="0.2">
      <c r="A13" s="149"/>
      <c r="B13" s="306" t="s">
        <v>7</v>
      </c>
      <c r="C13" s="306"/>
      <c r="D13" s="154">
        <f>ข้าราชการ!M32</f>
        <v>0</v>
      </c>
      <c r="E13" s="154"/>
      <c r="F13" s="155"/>
      <c r="G13" s="150"/>
      <c r="H13" s="154"/>
      <c r="I13" s="164"/>
      <c r="J13" s="149"/>
      <c r="K13" s="306" t="s">
        <v>7</v>
      </c>
      <c r="L13" s="306"/>
      <c r="M13" s="154">
        <f>ข้าราชการ!M45</f>
        <v>0</v>
      </c>
      <c r="N13" s="154"/>
      <c r="O13" s="155"/>
      <c r="P13" s="150"/>
      <c r="Q13" s="154"/>
      <c r="R13" s="164"/>
    </row>
    <row r="14" spans="1:18" ht="17.100000000000001" customHeight="1" x14ac:dyDescent="0.2">
      <c r="A14" s="149"/>
      <c r="B14" s="307" t="s">
        <v>101</v>
      </c>
      <c r="C14" s="307"/>
      <c r="D14" s="154">
        <f>SUM(D5:D13)</f>
        <v>0</v>
      </c>
      <c r="E14" s="154"/>
      <c r="F14" s="157"/>
      <c r="G14" s="147" t="s">
        <v>102</v>
      </c>
      <c r="H14" s="157">
        <f>SUM(H5:H13)</f>
        <v>0</v>
      </c>
      <c r="I14" s="166"/>
      <c r="J14" s="149"/>
      <c r="K14" s="307" t="s">
        <v>101</v>
      </c>
      <c r="L14" s="307"/>
      <c r="M14" s="157">
        <f>SUM(M5:M13)</f>
        <v>0</v>
      </c>
      <c r="N14" s="157"/>
      <c r="O14" s="157"/>
      <c r="P14" s="147" t="s">
        <v>102</v>
      </c>
      <c r="Q14" s="157">
        <f>SUM(Q5:Q13)</f>
        <v>0</v>
      </c>
      <c r="R14" s="166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63"/>
      <c r="J15" s="149"/>
      <c r="K15" s="150"/>
      <c r="L15" s="147" t="s">
        <v>103</v>
      </c>
      <c r="M15" s="157">
        <f>M14-Q14</f>
        <v>0</v>
      </c>
      <c r="N15" s="157"/>
      <c r="O15" s="158" t="s">
        <v>104</v>
      </c>
      <c r="Q15" s="150"/>
      <c r="R15" s="163"/>
    </row>
    <row r="16" spans="1:18" ht="17.100000000000001" customHeight="1" x14ac:dyDescent="0.2">
      <c r="A16" s="149"/>
      <c r="B16" s="150"/>
      <c r="C16" s="307" t="str">
        <f>"("&amp;BAHTTEXT(D15)&amp;")"</f>
        <v>(ศูนย์บาทถ้วน)</v>
      </c>
      <c r="D16" s="307"/>
      <c r="E16" s="307"/>
      <c r="F16" s="307"/>
      <c r="G16" s="307"/>
      <c r="H16" s="150"/>
      <c r="I16" s="148"/>
      <c r="J16" s="149"/>
      <c r="K16" s="150"/>
      <c r="L16" s="307" t="str">
        <f>"("&amp;BAHTTEXT(M15)&amp;")"</f>
        <v>(ศูนย์บาทถ้วน)</v>
      </c>
      <c r="M16" s="307"/>
      <c r="N16" s="307"/>
      <c r="O16" s="307"/>
      <c r="P16" s="307"/>
      <c r="Q16" s="150"/>
      <c r="R16" s="148"/>
    </row>
    <row r="17" spans="1:18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48"/>
      <c r="J17" s="149"/>
      <c r="K17" s="150"/>
      <c r="L17" s="147"/>
      <c r="M17" s="147"/>
      <c r="N17" s="147"/>
      <c r="O17" s="147"/>
      <c r="P17" s="147"/>
      <c r="Q17" s="150"/>
      <c r="R17" s="148"/>
    </row>
    <row r="18" spans="1:18" ht="17.100000000000001" customHeight="1" x14ac:dyDescent="0.2">
      <c r="A18" s="149"/>
      <c r="B18" s="150"/>
      <c r="C18" s="150"/>
      <c r="D18" s="150"/>
      <c r="E18" s="150"/>
      <c r="F18" s="150"/>
      <c r="G18" s="150"/>
      <c r="H18" s="150"/>
      <c r="I18" s="163"/>
      <c r="J18" s="149"/>
      <c r="K18" s="150"/>
      <c r="L18" s="150"/>
      <c r="M18" s="150"/>
      <c r="N18" s="150"/>
      <c r="O18" s="150"/>
      <c r="P18" s="150"/>
      <c r="Q18" s="150"/>
      <c r="R18" s="163"/>
    </row>
    <row r="19" spans="1:18" ht="17.100000000000001" customHeight="1" x14ac:dyDescent="0.2">
      <c r="A19" s="149"/>
      <c r="I19" s="148"/>
      <c r="J19" s="149"/>
      <c r="R19" s="148"/>
    </row>
    <row r="20" spans="1:18" ht="17.100000000000001" customHeight="1" x14ac:dyDescent="0.2">
      <c r="A20" s="149"/>
      <c r="I20" s="152"/>
      <c r="J20" s="149"/>
      <c r="R20" s="152"/>
    </row>
    <row r="21" spans="1:18" ht="17.100000000000001" customHeight="1" x14ac:dyDescent="0.2">
      <c r="A21" s="308" t="s">
        <v>315</v>
      </c>
      <c r="B21" s="307"/>
      <c r="C21" s="307"/>
      <c r="D21" s="307"/>
      <c r="E21" s="307"/>
      <c r="F21" s="307"/>
      <c r="G21" s="307"/>
      <c r="H21" s="307"/>
      <c r="I21" s="309"/>
      <c r="J21" s="308" t="s">
        <v>315</v>
      </c>
      <c r="K21" s="307"/>
      <c r="L21" s="307"/>
      <c r="M21" s="307"/>
      <c r="N21" s="307"/>
      <c r="O21" s="307"/>
      <c r="P21" s="307"/>
      <c r="Q21" s="307"/>
      <c r="R21" s="309"/>
    </row>
    <row r="22" spans="1:18" ht="17.100000000000001" customHeight="1" x14ac:dyDescent="0.2">
      <c r="A22" s="310" t="s">
        <v>298</v>
      </c>
      <c r="B22" s="311"/>
      <c r="C22" s="311"/>
      <c r="D22" s="311"/>
      <c r="E22" s="311"/>
      <c r="F22" s="311"/>
      <c r="G22" s="311"/>
      <c r="H22" s="311"/>
      <c r="I22" s="312"/>
      <c r="J22" s="310" t="s">
        <v>298</v>
      </c>
      <c r="K22" s="311"/>
      <c r="L22" s="311"/>
      <c r="M22" s="311"/>
      <c r="N22" s="311"/>
      <c r="O22" s="311"/>
      <c r="P22" s="311"/>
      <c r="Q22" s="311"/>
      <c r="R22" s="312"/>
    </row>
    <row r="23" spans="1:18" ht="17.100000000000001" customHeight="1" x14ac:dyDescent="0.2">
      <c r="A23" s="313" t="str">
        <f>ขร1!J243</f>
        <v>โรงพยาบาลสามโคก  ประจำเดือน  พฤศจิกายน  2568</v>
      </c>
      <c r="B23" s="314"/>
      <c r="C23" s="314"/>
      <c r="D23" s="314"/>
      <c r="E23" s="314"/>
      <c r="F23" s="314"/>
      <c r="G23" s="314"/>
      <c r="H23" s="314"/>
      <c r="I23" s="315"/>
      <c r="J23" s="313" t="str">
        <f>ขร2!A155</f>
        <v>โรงพยาบาลสามโคก  ประจำเดือน  พฤศจิกายน  2568</v>
      </c>
      <c r="K23" s="314"/>
      <c r="L23" s="314"/>
      <c r="M23" s="314"/>
      <c r="N23" s="314"/>
      <c r="O23" s="314"/>
      <c r="P23" s="314"/>
      <c r="Q23" s="314"/>
      <c r="R23" s="315"/>
    </row>
    <row r="24" spans="1:18" ht="17.100000000000001" customHeight="1" x14ac:dyDescent="0.2">
      <c r="A24" s="308" t="s">
        <v>543</v>
      </c>
      <c r="B24" s="307"/>
      <c r="C24" s="307"/>
      <c r="D24" s="307"/>
      <c r="E24" s="307"/>
      <c r="F24" s="307"/>
      <c r="G24" s="307"/>
      <c r="H24" s="307"/>
      <c r="I24" s="309"/>
      <c r="J24" s="308" t="s">
        <v>272</v>
      </c>
      <c r="K24" s="316"/>
      <c r="L24" s="316"/>
      <c r="M24" s="316"/>
      <c r="N24" s="316"/>
      <c r="O24" s="316"/>
      <c r="P24" s="316"/>
      <c r="Q24" s="316"/>
      <c r="R24" s="309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307" t="s">
        <v>9</v>
      </c>
      <c r="C26" s="307"/>
      <c r="D26" s="307"/>
      <c r="E26" s="147"/>
      <c r="F26" s="147"/>
      <c r="G26" s="307" t="s">
        <v>10</v>
      </c>
      <c r="H26" s="307"/>
      <c r="I26" s="152"/>
      <c r="J26" s="149"/>
      <c r="K26" s="307" t="s">
        <v>9</v>
      </c>
      <c r="L26" s="307"/>
      <c r="M26" s="307"/>
      <c r="N26" s="147"/>
      <c r="O26" s="147"/>
      <c r="P26" s="307" t="s">
        <v>10</v>
      </c>
      <c r="Q26" s="307"/>
      <c r="R26" s="152"/>
    </row>
    <row r="27" spans="1:18" ht="17.100000000000001" customHeight="1" x14ac:dyDescent="0.2">
      <c r="A27" s="149"/>
      <c r="B27" s="306" t="s">
        <v>3</v>
      </c>
      <c r="C27" s="306"/>
      <c r="D27" s="154">
        <f>ข้าราชการ!E33</f>
        <v>0</v>
      </c>
      <c r="E27" s="154"/>
      <c r="F27" s="155"/>
      <c r="G27" s="150" t="s">
        <v>99</v>
      </c>
      <c r="H27" s="154">
        <f>ข้าราชการ!N33</f>
        <v>0</v>
      </c>
      <c r="I27" s="152"/>
      <c r="J27" s="149"/>
      <c r="K27" s="306" t="s">
        <v>3</v>
      </c>
      <c r="L27" s="306"/>
      <c r="M27" s="154">
        <f>ข้าราชการ!E46</f>
        <v>0</v>
      </c>
      <c r="N27" s="154"/>
      <c r="O27" s="155"/>
      <c r="P27" s="150" t="s">
        <v>99</v>
      </c>
      <c r="Q27" s="154">
        <f>ข้าราชการ!N46</f>
        <v>0</v>
      </c>
      <c r="R27" s="152"/>
    </row>
    <row r="28" spans="1:18" ht="17.100000000000001" customHeight="1" x14ac:dyDescent="0.2">
      <c r="A28" s="149"/>
      <c r="B28" s="306" t="s">
        <v>106</v>
      </c>
      <c r="C28" s="306"/>
      <c r="D28" s="154">
        <f>ข้าราชการ!F33</f>
        <v>0</v>
      </c>
      <c r="E28" s="154"/>
      <c r="F28" s="155"/>
      <c r="G28" s="150" t="s">
        <v>53</v>
      </c>
      <c r="H28" s="154">
        <f>ข้าราชการ!O33</f>
        <v>0</v>
      </c>
      <c r="I28" s="152"/>
      <c r="J28" s="149"/>
      <c r="K28" s="306" t="s">
        <v>106</v>
      </c>
      <c r="L28" s="306"/>
      <c r="M28" s="154">
        <f>ข้าราชการ!F46</f>
        <v>0</v>
      </c>
      <c r="N28" s="154"/>
      <c r="O28" s="155"/>
      <c r="P28" s="150" t="s">
        <v>53</v>
      </c>
      <c r="Q28" s="154">
        <f>ข้าราชการ!O46</f>
        <v>0</v>
      </c>
      <c r="R28" s="152"/>
    </row>
    <row r="29" spans="1:18" ht="17.100000000000001" customHeight="1" x14ac:dyDescent="0.2">
      <c r="A29" s="149"/>
      <c r="B29" s="306" t="s">
        <v>107</v>
      </c>
      <c r="C29" s="306"/>
      <c r="D29" s="154">
        <f>ข้าราชการ!G33</f>
        <v>0</v>
      </c>
      <c r="E29" s="154"/>
      <c r="F29" s="155"/>
      <c r="G29" s="150" t="s">
        <v>54</v>
      </c>
      <c r="H29" s="154">
        <f>ข้าราชการ!P33</f>
        <v>0</v>
      </c>
      <c r="I29" s="152"/>
      <c r="J29" s="149"/>
      <c r="K29" s="306" t="s">
        <v>107</v>
      </c>
      <c r="L29" s="306"/>
      <c r="M29" s="154">
        <f>ข้าราชการ!G46</f>
        <v>0</v>
      </c>
      <c r="N29" s="154"/>
      <c r="O29" s="155"/>
      <c r="P29" s="150" t="s">
        <v>54</v>
      </c>
      <c r="Q29" s="154">
        <f>ข้าราชการ!P46</f>
        <v>0</v>
      </c>
      <c r="R29" s="152"/>
    </row>
    <row r="30" spans="1:18" ht="17.100000000000001" customHeight="1" x14ac:dyDescent="0.2">
      <c r="A30" s="149"/>
      <c r="B30" s="306" t="s">
        <v>105</v>
      </c>
      <c r="C30" s="306"/>
      <c r="D30" s="154">
        <f>ข้าราชการ!H35</f>
        <v>0</v>
      </c>
      <c r="E30" s="154"/>
      <c r="F30" s="155"/>
      <c r="G30" s="150" t="s">
        <v>100</v>
      </c>
      <c r="H30" s="154">
        <f>ข้าราชการ!Q33</f>
        <v>0</v>
      </c>
      <c r="I30" s="152"/>
      <c r="J30" s="149"/>
      <c r="K30" s="306" t="s">
        <v>105</v>
      </c>
      <c r="L30" s="306"/>
      <c r="M30" s="154">
        <f>ข้าราชการ!H48</f>
        <v>0</v>
      </c>
      <c r="N30" s="154"/>
      <c r="O30" s="155"/>
      <c r="P30" s="150" t="s">
        <v>100</v>
      </c>
      <c r="Q30" s="154">
        <f>ข้าราชการ!Q48</f>
        <v>0</v>
      </c>
      <c r="R30" s="152"/>
    </row>
    <row r="31" spans="1:18" ht="17.100000000000001" customHeight="1" x14ac:dyDescent="0.2">
      <c r="A31" s="149"/>
      <c r="B31" s="306" t="s">
        <v>291</v>
      </c>
      <c r="C31" s="306"/>
      <c r="D31" s="154">
        <f>ข้าราชการ!I35</f>
        <v>0</v>
      </c>
      <c r="E31" s="154"/>
      <c r="F31" s="155"/>
      <c r="G31" s="150" t="s">
        <v>55</v>
      </c>
      <c r="H31" s="156">
        <v>0</v>
      </c>
      <c r="I31" s="152"/>
      <c r="J31" s="149"/>
      <c r="K31" s="306" t="s">
        <v>291</v>
      </c>
      <c r="L31" s="306"/>
      <c r="M31" s="154">
        <f>ข้าราชการ!I48</f>
        <v>0</v>
      </c>
      <c r="N31" s="154"/>
      <c r="O31" s="155"/>
      <c r="P31" s="150" t="s">
        <v>55</v>
      </c>
      <c r="Q31" s="156">
        <f>ข้าราชการ!R46</f>
        <v>0</v>
      </c>
      <c r="R31" s="152"/>
    </row>
    <row r="32" spans="1:18" ht="17.100000000000001" customHeight="1" x14ac:dyDescent="0.2">
      <c r="A32" s="149"/>
      <c r="B32" s="306" t="s">
        <v>662</v>
      </c>
      <c r="C32" s="306"/>
      <c r="D32" s="154">
        <f>ข้าราชการ!J35</f>
        <v>0</v>
      </c>
      <c r="E32" s="154"/>
      <c r="F32" s="155"/>
      <c r="G32" s="153" t="s">
        <v>137</v>
      </c>
      <c r="H32" s="156">
        <f>ข้าราชการ!S35</f>
        <v>0</v>
      </c>
      <c r="I32" s="152"/>
      <c r="J32" s="149"/>
      <c r="K32" s="306" t="s">
        <v>662</v>
      </c>
      <c r="L32" s="306"/>
      <c r="M32" s="154">
        <f>ข้าราชการ!J48</f>
        <v>0</v>
      </c>
      <c r="N32" s="154"/>
      <c r="O32" s="155"/>
      <c r="P32" s="153" t="s">
        <v>137</v>
      </c>
      <c r="Q32" s="156">
        <f>ข้าราชการ!S48</f>
        <v>0</v>
      </c>
      <c r="R32" s="152"/>
    </row>
    <row r="33" spans="1:18" ht="17.100000000000001" customHeight="1" x14ac:dyDescent="0.2">
      <c r="A33" s="149"/>
      <c r="B33" s="306" t="s">
        <v>5</v>
      </c>
      <c r="C33" s="306"/>
      <c r="D33" s="154">
        <f>ข้าราชการ!K33</f>
        <v>0</v>
      </c>
      <c r="E33" s="154"/>
      <c r="F33" s="155"/>
      <c r="G33" s="150" t="s">
        <v>56</v>
      </c>
      <c r="H33" s="156">
        <f>ข้าราชการ!T35</f>
        <v>0</v>
      </c>
      <c r="I33" s="152"/>
      <c r="J33" s="149"/>
      <c r="K33" s="306" t="s">
        <v>5</v>
      </c>
      <c r="L33" s="306"/>
      <c r="M33" s="154">
        <f>ข้าราชการ!K46</f>
        <v>0</v>
      </c>
      <c r="N33" s="154"/>
      <c r="O33" s="155"/>
      <c r="P33" s="150" t="s">
        <v>56</v>
      </c>
      <c r="Q33" s="156">
        <f>ข้าราชการ!T48</f>
        <v>0</v>
      </c>
      <c r="R33" s="152"/>
    </row>
    <row r="34" spans="1:18" ht="17.100000000000001" customHeight="1" x14ac:dyDescent="0.2">
      <c r="A34" s="149"/>
      <c r="B34" s="150" t="s">
        <v>6</v>
      </c>
      <c r="C34" s="150"/>
      <c r="D34" s="154">
        <f>ข้าราชการ!L33</f>
        <v>0</v>
      </c>
      <c r="E34" s="154"/>
      <c r="F34" s="155"/>
      <c r="G34" s="150" t="s">
        <v>57</v>
      </c>
      <c r="H34" s="156">
        <f>ข้าราชการ!U35</f>
        <v>0</v>
      </c>
      <c r="I34" s="152"/>
      <c r="J34" s="149"/>
      <c r="K34" s="150" t="s">
        <v>6</v>
      </c>
      <c r="L34" s="150"/>
      <c r="M34" s="154">
        <v>0</v>
      </c>
      <c r="N34" s="154"/>
      <c r="O34" s="155"/>
      <c r="P34" s="150" t="s">
        <v>57</v>
      </c>
      <c r="Q34" s="156">
        <f>ข้าราชการ!U48</f>
        <v>0</v>
      </c>
      <c r="R34" s="152"/>
    </row>
    <row r="35" spans="1:18" ht="17.100000000000001" customHeight="1" x14ac:dyDescent="0.2">
      <c r="A35" s="149"/>
      <c r="B35" s="306" t="s">
        <v>7</v>
      </c>
      <c r="C35" s="306"/>
      <c r="D35" s="154">
        <f>ข้าราชการ!M33</f>
        <v>0</v>
      </c>
      <c r="E35" s="154"/>
      <c r="F35" s="155"/>
      <c r="G35" s="150"/>
      <c r="H35" s="154"/>
      <c r="I35" s="152"/>
      <c r="J35" s="149"/>
      <c r="K35" s="306" t="s">
        <v>7</v>
      </c>
      <c r="L35" s="306"/>
      <c r="M35" s="154">
        <f>ข้าราชการ!M46</f>
        <v>0</v>
      </c>
      <c r="N35" s="154"/>
      <c r="O35" s="155"/>
      <c r="P35" s="150"/>
      <c r="Q35" s="154"/>
      <c r="R35" s="152"/>
    </row>
    <row r="36" spans="1:18" ht="17.100000000000001" customHeight="1" x14ac:dyDescent="0.2">
      <c r="A36" s="149"/>
      <c r="B36" s="307" t="s">
        <v>101</v>
      </c>
      <c r="C36" s="307"/>
      <c r="D36" s="157">
        <f>SUM(D27:D35)</f>
        <v>0</v>
      </c>
      <c r="E36" s="157"/>
      <c r="F36" s="157"/>
      <c r="G36" s="147" t="s">
        <v>102</v>
      </c>
      <c r="H36" s="157">
        <f>SUM(H27:H35)</f>
        <v>0</v>
      </c>
      <c r="I36" s="152"/>
      <c r="J36" s="149"/>
      <c r="K36" s="307" t="s">
        <v>101</v>
      </c>
      <c r="L36" s="307"/>
      <c r="M36" s="157">
        <f>SUM(M27:M35)</f>
        <v>0</v>
      </c>
      <c r="N36" s="157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B38" s="150"/>
      <c r="C38" s="307" t="str">
        <f>"("&amp;BAHTTEXT(D37)&amp;")"</f>
        <v>(ศูนย์บาทถ้วน)</v>
      </c>
      <c r="D38" s="307"/>
      <c r="E38" s="307"/>
      <c r="F38" s="307"/>
      <c r="G38" s="307"/>
      <c r="H38" s="150"/>
      <c r="I38" s="152"/>
      <c r="J38" s="167"/>
      <c r="K38" s="150"/>
      <c r="L38" s="307" t="str">
        <f>"("&amp;BAHTTEXT(M37)&amp;")"</f>
        <v>(ศูนย์บาทถ้วน)</v>
      </c>
      <c r="M38" s="307"/>
      <c r="N38" s="307"/>
      <c r="O38" s="307"/>
      <c r="P38" s="307"/>
      <c r="Q38" s="150"/>
      <c r="R38" s="163"/>
    </row>
    <row r="39" spans="1:18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  <c r="J39" s="167"/>
      <c r="K39" s="150"/>
      <c r="L39" s="147"/>
      <c r="M39" s="147"/>
      <c r="N39" s="147"/>
      <c r="O39" s="147"/>
      <c r="P39" s="147"/>
      <c r="Q39" s="150"/>
      <c r="R39" s="163"/>
    </row>
    <row r="40" spans="1:18" ht="17.100000000000001" customHeight="1" x14ac:dyDescent="0.2">
      <c r="A40" s="149"/>
      <c r="B40" s="150"/>
      <c r="C40" s="150"/>
      <c r="D40" s="150"/>
      <c r="E40" s="150"/>
      <c r="F40" s="150"/>
      <c r="G40" s="150"/>
      <c r="H40" s="150"/>
      <c r="I40" s="152"/>
      <c r="J40" s="149"/>
      <c r="K40" s="150"/>
      <c r="L40" s="150"/>
      <c r="M40" s="150"/>
      <c r="N40" s="150"/>
      <c r="O40" s="150"/>
      <c r="P40" s="150"/>
      <c r="Q40" s="150"/>
      <c r="R40" s="152"/>
    </row>
    <row r="41" spans="1:18" ht="17.100000000000001" customHeight="1" x14ac:dyDescent="0.2">
      <c r="A41" s="149"/>
      <c r="I41" s="152"/>
      <c r="J41" s="149"/>
      <c r="R41" s="152"/>
    </row>
    <row r="42" spans="1:18" ht="17.100000000000001" customHeight="1" x14ac:dyDescent="0.2">
      <c r="A42" s="149"/>
      <c r="I42" s="152"/>
      <c r="J42" s="149"/>
      <c r="R42" s="152"/>
    </row>
    <row r="43" spans="1:18" ht="17.100000000000001" customHeight="1" x14ac:dyDescent="0.2">
      <c r="A43" s="149"/>
      <c r="B43" s="307" t="s">
        <v>315</v>
      </c>
      <c r="C43" s="307"/>
      <c r="D43" s="307"/>
      <c r="E43" s="307"/>
      <c r="F43" s="307"/>
      <c r="G43" s="307"/>
      <c r="H43" s="307"/>
      <c r="I43" s="152"/>
      <c r="J43" s="308" t="s">
        <v>315</v>
      </c>
      <c r="K43" s="307"/>
      <c r="L43" s="307"/>
      <c r="M43" s="307"/>
      <c r="N43" s="307"/>
      <c r="O43" s="307"/>
      <c r="P43" s="307"/>
      <c r="Q43" s="307"/>
      <c r="R43" s="309"/>
    </row>
    <row r="44" spans="1:18" ht="17.100000000000001" customHeight="1" x14ac:dyDescent="0.2">
      <c r="A44" s="161"/>
      <c r="B44" s="311" t="s">
        <v>298</v>
      </c>
      <c r="C44" s="311"/>
      <c r="D44" s="311"/>
      <c r="E44" s="311"/>
      <c r="F44" s="311"/>
      <c r="G44" s="311"/>
      <c r="H44" s="311"/>
      <c r="I44" s="162"/>
      <c r="J44" s="310" t="s">
        <v>298</v>
      </c>
      <c r="K44" s="311"/>
      <c r="L44" s="311"/>
      <c r="M44" s="311"/>
      <c r="N44" s="311"/>
      <c r="O44" s="311"/>
      <c r="P44" s="311"/>
      <c r="Q44" s="311"/>
      <c r="R44" s="312"/>
    </row>
    <row r="45" spans="1:18" ht="17.100000000000001" customHeight="1" x14ac:dyDescent="0.2">
      <c r="A45" s="313" t="str">
        <f>ขร1!J243</f>
        <v>โรงพยาบาลสามโคก  ประจำเดือน  พฤศจิกายน  2568</v>
      </c>
      <c r="B45" s="314"/>
      <c r="C45" s="314"/>
      <c r="D45" s="314"/>
      <c r="E45" s="314"/>
      <c r="F45" s="314"/>
      <c r="G45" s="314"/>
      <c r="H45" s="314"/>
      <c r="I45" s="315"/>
      <c r="J45" s="313" t="str">
        <f>ขร1!J243</f>
        <v>โรงพยาบาลสามโคก  ประจำเดือน  พฤศจิกายน  2568</v>
      </c>
      <c r="K45" s="314"/>
      <c r="L45" s="314"/>
      <c r="M45" s="314"/>
      <c r="N45" s="314"/>
      <c r="O45" s="314"/>
      <c r="P45" s="314"/>
      <c r="Q45" s="314"/>
      <c r="R45" s="315"/>
    </row>
    <row r="46" spans="1:18" ht="17.100000000000001" customHeight="1" x14ac:dyDescent="0.2">
      <c r="A46" s="308" t="s">
        <v>468</v>
      </c>
      <c r="B46" s="307"/>
      <c r="C46" s="307"/>
      <c r="D46" s="307"/>
      <c r="E46" s="307"/>
      <c r="F46" s="307"/>
      <c r="G46" s="307"/>
      <c r="H46" s="307"/>
      <c r="I46" s="309"/>
      <c r="J46" s="308" t="s">
        <v>290</v>
      </c>
      <c r="K46" s="316"/>
      <c r="L46" s="316"/>
      <c r="M46" s="316"/>
      <c r="N46" s="316"/>
      <c r="O46" s="316"/>
      <c r="P46" s="316"/>
      <c r="Q46" s="316"/>
      <c r="R46" s="309"/>
    </row>
    <row r="47" spans="1:18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  <c r="J47" s="149"/>
      <c r="K47" s="153"/>
      <c r="L47" s="150"/>
      <c r="M47" s="147"/>
      <c r="N47" s="147"/>
      <c r="O47" s="147"/>
      <c r="P47" s="150"/>
      <c r="Q47" s="150"/>
      <c r="R47" s="152"/>
    </row>
    <row r="48" spans="1:18" ht="17.100000000000001" customHeight="1" x14ac:dyDescent="0.2">
      <c r="A48" s="149"/>
      <c r="B48" s="307" t="s">
        <v>9</v>
      </c>
      <c r="C48" s="307"/>
      <c r="D48" s="307"/>
      <c r="E48" s="147"/>
      <c r="F48" s="147"/>
      <c r="G48" s="307" t="s">
        <v>10</v>
      </c>
      <c r="H48" s="307"/>
      <c r="I48" s="152"/>
      <c r="J48" s="149"/>
      <c r="K48" s="307" t="s">
        <v>9</v>
      </c>
      <c r="L48" s="307"/>
      <c r="M48" s="307"/>
      <c r="N48" s="147"/>
      <c r="O48" s="147"/>
      <c r="P48" s="307" t="s">
        <v>10</v>
      </c>
      <c r="Q48" s="307"/>
      <c r="R48" s="152"/>
    </row>
    <row r="49" spans="1:18" ht="17.100000000000001" customHeight="1" x14ac:dyDescent="0.2">
      <c r="A49" s="149"/>
      <c r="B49" s="306" t="s">
        <v>3</v>
      </c>
      <c r="C49" s="306"/>
      <c r="D49" s="154">
        <f>ข้าราชการ!E34</f>
        <v>0</v>
      </c>
      <c r="E49" s="154"/>
      <c r="F49" s="155"/>
      <c r="G49" s="150" t="s">
        <v>99</v>
      </c>
      <c r="H49" s="154">
        <f>ข้าราชการ!N34</f>
        <v>0</v>
      </c>
      <c r="I49" s="152"/>
      <c r="J49" s="149"/>
      <c r="K49" s="306" t="s">
        <v>3</v>
      </c>
      <c r="L49" s="306"/>
      <c r="M49" s="154">
        <f>ข้าราชการ!E47</f>
        <v>0</v>
      </c>
      <c r="N49" s="154"/>
      <c r="O49" s="155"/>
      <c r="P49" s="150" t="s">
        <v>99</v>
      </c>
      <c r="Q49" s="154">
        <f>ข้าราชการ!N47</f>
        <v>0</v>
      </c>
      <c r="R49" s="152"/>
    </row>
    <row r="50" spans="1:18" ht="17.100000000000001" customHeight="1" x14ac:dyDescent="0.2">
      <c r="A50" s="149"/>
      <c r="B50" s="306" t="s">
        <v>106</v>
      </c>
      <c r="C50" s="306"/>
      <c r="D50" s="154">
        <f>ข้าราชการ!F34</f>
        <v>0</v>
      </c>
      <c r="E50" s="154"/>
      <c r="F50" s="155"/>
      <c r="G50" s="150" t="s">
        <v>53</v>
      </c>
      <c r="H50" s="154">
        <f>ข้าราชการ!O34</f>
        <v>0</v>
      </c>
      <c r="I50" s="152"/>
      <c r="J50" s="149"/>
      <c r="K50" s="306" t="s">
        <v>106</v>
      </c>
      <c r="L50" s="306"/>
      <c r="M50" s="154">
        <f>ข้าราชการ!F47</f>
        <v>0</v>
      </c>
      <c r="N50" s="154"/>
      <c r="O50" s="155"/>
      <c r="P50" s="150" t="s">
        <v>53</v>
      </c>
      <c r="Q50" s="154">
        <f>ข้าราชการ!O47</f>
        <v>0</v>
      </c>
      <c r="R50" s="152"/>
    </row>
    <row r="51" spans="1:18" ht="17.100000000000001" customHeight="1" x14ac:dyDescent="0.2">
      <c r="A51" s="149"/>
      <c r="B51" s="306" t="s">
        <v>107</v>
      </c>
      <c r="C51" s="306"/>
      <c r="D51" s="154">
        <f>ข้าราชการ!G34</f>
        <v>0</v>
      </c>
      <c r="E51" s="154"/>
      <c r="F51" s="155"/>
      <c r="G51" s="150" t="s">
        <v>54</v>
      </c>
      <c r="H51" s="154">
        <f>ข้าราชการ!P34</f>
        <v>0</v>
      </c>
      <c r="I51" s="152"/>
      <c r="J51" s="149"/>
      <c r="K51" s="306" t="s">
        <v>107</v>
      </c>
      <c r="L51" s="306"/>
      <c r="M51" s="154">
        <f>ข้าราชการ!G47</f>
        <v>0</v>
      </c>
      <c r="N51" s="154"/>
      <c r="O51" s="155"/>
      <c r="P51" s="150" t="s">
        <v>54</v>
      </c>
      <c r="Q51" s="154">
        <f>ข้าราชการ!P47</f>
        <v>0</v>
      </c>
      <c r="R51" s="152"/>
    </row>
    <row r="52" spans="1:18" ht="17.100000000000001" customHeight="1" x14ac:dyDescent="0.2">
      <c r="A52" s="149"/>
      <c r="B52" s="306" t="s">
        <v>105</v>
      </c>
      <c r="C52" s="306"/>
      <c r="D52" s="154">
        <f>ข้าราชการ!H36</f>
        <v>0</v>
      </c>
      <c r="E52" s="154"/>
      <c r="F52" s="155"/>
      <c r="G52" s="150" t="s">
        <v>100</v>
      </c>
      <c r="H52" s="154">
        <f>ข้าราชการ!Q34</f>
        <v>0</v>
      </c>
      <c r="I52" s="152"/>
      <c r="J52" s="149"/>
      <c r="K52" s="306" t="s">
        <v>105</v>
      </c>
      <c r="L52" s="306"/>
      <c r="M52" s="154">
        <f>ข้าราชการ!H49</f>
        <v>0</v>
      </c>
      <c r="N52" s="154"/>
      <c r="O52" s="155"/>
      <c r="P52" s="150" t="s">
        <v>100</v>
      </c>
      <c r="Q52" s="154">
        <f>ข้าราชการ!Q49</f>
        <v>0</v>
      </c>
      <c r="R52" s="152"/>
    </row>
    <row r="53" spans="1:18" ht="17.100000000000001" customHeight="1" x14ac:dyDescent="0.2">
      <c r="A53" s="149"/>
      <c r="B53" s="306" t="s">
        <v>291</v>
      </c>
      <c r="C53" s="306"/>
      <c r="D53" s="154">
        <f>ข้าราชการ!I36</f>
        <v>0</v>
      </c>
      <c r="E53" s="154"/>
      <c r="F53" s="155"/>
      <c r="G53" s="150" t="s">
        <v>55</v>
      </c>
      <c r="H53" s="156">
        <f>ข้าราชการ!R34</f>
        <v>0</v>
      </c>
      <c r="I53" s="152"/>
      <c r="J53" s="149"/>
      <c r="K53" s="306" t="s">
        <v>291</v>
      </c>
      <c r="L53" s="306"/>
      <c r="M53" s="154">
        <f>ข้าราชการ!I49</f>
        <v>0</v>
      </c>
      <c r="N53" s="154"/>
      <c r="O53" s="155"/>
      <c r="P53" s="150" t="s">
        <v>55</v>
      </c>
      <c r="Q53" s="156">
        <f>ข้าราชการ!R49</f>
        <v>0</v>
      </c>
      <c r="R53" s="152"/>
    </row>
    <row r="54" spans="1:18" ht="17.100000000000001" customHeight="1" x14ac:dyDescent="0.2">
      <c r="A54" s="149"/>
      <c r="B54" s="306" t="s">
        <v>662</v>
      </c>
      <c r="C54" s="306"/>
      <c r="D54" s="154">
        <f>ข้าราชการ!J36</f>
        <v>0</v>
      </c>
      <c r="E54" s="154"/>
      <c r="F54" s="155"/>
      <c r="G54" s="153" t="s">
        <v>137</v>
      </c>
      <c r="H54" s="156">
        <f>ข้าราชการ!S34</f>
        <v>0</v>
      </c>
      <c r="I54" s="152"/>
      <c r="J54" s="149"/>
      <c r="K54" s="306" t="s">
        <v>662</v>
      </c>
      <c r="L54" s="306"/>
      <c r="M54" s="154">
        <f>ข้าราชการ!J49</f>
        <v>0</v>
      </c>
      <c r="N54" s="154"/>
      <c r="O54" s="155"/>
      <c r="P54" s="153" t="s">
        <v>137</v>
      </c>
      <c r="Q54" s="156">
        <f>ข้าราชการ!S49</f>
        <v>0</v>
      </c>
      <c r="R54" s="152"/>
    </row>
    <row r="55" spans="1:18" ht="17.100000000000001" customHeight="1" x14ac:dyDescent="0.2">
      <c r="A55" s="149"/>
      <c r="B55" s="306" t="s">
        <v>5</v>
      </c>
      <c r="C55" s="306"/>
      <c r="D55" s="154">
        <f>ข้าราชการ!K34</f>
        <v>0</v>
      </c>
      <c r="E55" s="154"/>
      <c r="F55" s="155"/>
      <c r="G55" s="150" t="s">
        <v>56</v>
      </c>
      <c r="H55" s="156">
        <f>ข้าราชการ!T36</f>
        <v>0</v>
      </c>
      <c r="I55" s="152"/>
      <c r="J55" s="149"/>
      <c r="K55" s="306" t="s">
        <v>5</v>
      </c>
      <c r="L55" s="306"/>
      <c r="M55" s="154">
        <f>ข้าราชการ!K47</f>
        <v>0</v>
      </c>
      <c r="N55" s="154"/>
      <c r="O55" s="155"/>
      <c r="P55" s="150" t="s">
        <v>56</v>
      </c>
      <c r="Q55" s="156">
        <f>ข้าราชการ!T49</f>
        <v>0</v>
      </c>
      <c r="R55" s="152"/>
    </row>
    <row r="56" spans="1:18" ht="17.100000000000001" customHeight="1" x14ac:dyDescent="0.2">
      <c r="A56" s="149"/>
      <c r="B56" s="150" t="s">
        <v>6</v>
      </c>
      <c r="C56" s="150"/>
      <c r="D56" s="154">
        <f>ข้าราชการ!L36</f>
        <v>0</v>
      </c>
      <c r="E56" s="154"/>
      <c r="F56" s="155"/>
      <c r="G56" s="150" t="s">
        <v>57</v>
      </c>
      <c r="H56" s="156">
        <f>ข้าราชการ!U36</f>
        <v>0</v>
      </c>
      <c r="I56" s="152"/>
      <c r="J56" s="149"/>
      <c r="K56" s="150" t="s">
        <v>6</v>
      </c>
      <c r="L56" s="150"/>
      <c r="M56" s="154">
        <f>ข้าราชการ!L47</f>
        <v>0</v>
      </c>
      <c r="N56" s="154"/>
      <c r="O56" s="155"/>
      <c r="P56" s="150" t="s">
        <v>57</v>
      </c>
      <c r="Q56" s="156">
        <f>ข้าราชการ!U49</f>
        <v>0</v>
      </c>
      <c r="R56" s="152"/>
    </row>
    <row r="57" spans="1:18" ht="17.100000000000001" customHeight="1" x14ac:dyDescent="0.2">
      <c r="A57" s="149"/>
      <c r="B57" s="306" t="s">
        <v>7</v>
      </c>
      <c r="C57" s="306"/>
      <c r="D57" s="154">
        <f>ข้าราชการ!M34</f>
        <v>0</v>
      </c>
      <c r="E57" s="154"/>
      <c r="F57" s="155"/>
      <c r="G57" s="150"/>
      <c r="H57" s="154"/>
      <c r="I57" s="152"/>
      <c r="J57" s="149"/>
      <c r="K57" s="306" t="s">
        <v>7</v>
      </c>
      <c r="L57" s="306"/>
      <c r="M57" s="154">
        <f>ข้าราชการ!M47</f>
        <v>0</v>
      </c>
      <c r="N57" s="154"/>
      <c r="O57" s="155"/>
      <c r="P57" s="150"/>
      <c r="Q57" s="154"/>
      <c r="R57" s="152"/>
    </row>
    <row r="58" spans="1:18" ht="17.100000000000001" customHeight="1" x14ac:dyDescent="0.2">
      <c r="A58" s="149"/>
      <c r="B58" s="307" t="s">
        <v>101</v>
      </c>
      <c r="C58" s="307"/>
      <c r="D58" s="157">
        <f>SUM(D49:D57)</f>
        <v>0</v>
      </c>
      <c r="E58" s="157"/>
      <c r="F58" s="157"/>
      <c r="G58" s="147" t="s">
        <v>102</v>
      </c>
      <c r="H58" s="157">
        <f>SUM(H49:H57)</f>
        <v>0</v>
      </c>
      <c r="I58" s="152"/>
      <c r="J58" s="149"/>
      <c r="K58" s="307" t="s">
        <v>101</v>
      </c>
      <c r="L58" s="307"/>
      <c r="M58" s="154">
        <f>SUM(M49:M57)</f>
        <v>0</v>
      </c>
      <c r="N58" s="154"/>
      <c r="O58" s="157"/>
      <c r="P58" s="147" t="s">
        <v>102</v>
      </c>
      <c r="Q58" s="157">
        <f>SUM(Q49:Q57)</f>
        <v>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  <c r="J59" s="149"/>
      <c r="K59" s="150"/>
      <c r="L59" s="147" t="s">
        <v>103</v>
      </c>
      <c r="M59" s="157">
        <f>M58-Q58</f>
        <v>0</v>
      </c>
      <c r="N59" s="157"/>
      <c r="O59" s="158" t="s">
        <v>104</v>
      </c>
      <c r="Q59" s="150"/>
      <c r="R59" s="152"/>
    </row>
    <row r="60" spans="1:18" ht="17.100000000000001" customHeight="1" x14ac:dyDescent="0.2">
      <c r="A60" s="149"/>
      <c r="B60" s="150"/>
      <c r="C60" s="307" t="str">
        <f>"("&amp;BAHTTEXT(D59)&amp;")"</f>
        <v>(ศูนย์บาทถ้วน)</v>
      </c>
      <c r="D60" s="307"/>
      <c r="E60" s="307"/>
      <c r="F60" s="307"/>
      <c r="G60" s="307"/>
      <c r="H60" s="150"/>
      <c r="I60" s="152"/>
      <c r="J60" s="167"/>
      <c r="K60" s="150"/>
      <c r="L60" s="307" t="str">
        <f>"("&amp;BAHTTEXT(M59)&amp;")"</f>
        <v>(ศูนย์บาทถ้วน)</v>
      </c>
      <c r="M60" s="307"/>
      <c r="N60" s="307"/>
      <c r="O60" s="307"/>
      <c r="P60" s="307"/>
      <c r="Q60" s="150"/>
      <c r="R60" s="163"/>
    </row>
    <row r="61" spans="1:18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  <c r="J61" s="167"/>
      <c r="K61" s="150"/>
      <c r="L61" s="147"/>
      <c r="M61" s="147"/>
      <c r="N61" s="147"/>
      <c r="O61" s="147"/>
      <c r="P61" s="147"/>
      <c r="Q61" s="150"/>
      <c r="R61" s="163"/>
    </row>
    <row r="62" spans="1:18" ht="17.100000000000001" customHeight="1" x14ac:dyDescent="0.2">
      <c r="A62" s="149"/>
      <c r="B62" s="150"/>
      <c r="C62" s="150"/>
      <c r="D62" s="150"/>
      <c r="E62" s="150"/>
      <c r="F62" s="150"/>
      <c r="G62" s="150"/>
      <c r="H62" s="150"/>
      <c r="I62" s="152"/>
      <c r="J62" s="146"/>
      <c r="K62" s="147"/>
      <c r="L62" s="147"/>
      <c r="M62" s="147"/>
      <c r="N62" s="147"/>
      <c r="O62" s="147"/>
      <c r="P62" s="147"/>
      <c r="Q62" s="147"/>
      <c r="R62" s="148"/>
    </row>
    <row r="63" spans="1:18" ht="17.100000000000001" customHeight="1" x14ac:dyDescent="0.2">
      <c r="A63" s="149"/>
      <c r="I63" s="152"/>
      <c r="J63" s="149"/>
      <c r="K63" s="150"/>
      <c r="L63" s="150"/>
      <c r="M63" s="150"/>
      <c r="N63" s="150"/>
      <c r="O63" s="150"/>
      <c r="P63" s="150"/>
      <c r="Q63" s="150"/>
      <c r="R63" s="152"/>
    </row>
    <row r="64" spans="1:18" ht="17.100000000000001" customHeight="1" x14ac:dyDescent="0.2">
      <c r="A64" s="149"/>
      <c r="I64" s="152"/>
      <c r="J64" s="149"/>
      <c r="R64" s="152"/>
    </row>
    <row r="65" spans="1:18" ht="17.100000000000001" customHeight="1" x14ac:dyDescent="0.2">
      <c r="A65" s="308" t="s">
        <v>315</v>
      </c>
      <c r="B65" s="307"/>
      <c r="C65" s="307"/>
      <c r="D65" s="307"/>
      <c r="E65" s="307"/>
      <c r="F65" s="307"/>
      <c r="G65" s="307"/>
      <c r="H65" s="307"/>
      <c r="I65" s="309"/>
      <c r="J65" s="308" t="s">
        <v>315</v>
      </c>
      <c r="K65" s="307"/>
      <c r="L65" s="307"/>
      <c r="M65" s="307"/>
      <c r="N65" s="307"/>
      <c r="O65" s="307"/>
      <c r="P65" s="307"/>
      <c r="Q65" s="307"/>
      <c r="R65" s="309"/>
    </row>
    <row r="66" spans="1:18" ht="17.100000000000001" customHeight="1" x14ac:dyDescent="0.2">
      <c r="A66" s="310" t="s">
        <v>298</v>
      </c>
      <c r="B66" s="311"/>
      <c r="C66" s="311"/>
      <c r="D66" s="311"/>
      <c r="E66" s="311"/>
      <c r="F66" s="311"/>
      <c r="G66" s="311"/>
      <c r="H66" s="311"/>
      <c r="I66" s="312"/>
      <c r="J66" s="310" t="s">
        <v>298</v>
      </c>
      <c r="K66" s="311"/>
      <c r="L66" s="311"/>
      <c r="M66" s="311"/>
      <c r="N66" s="311"/>
      <c r="O66" s="311"/>
      <c r="P66" s="311"/>
      <c r="Q66" s="311"/>
      <c r="R66" s="312"/>
    </row>
    <row r="67" spans="1:18" ht="17.100000000000001" customHeight="1" x14ac:dyDescent="0.2">
      <c r="A67" s="313" t="str">
        <f>ขร1!J243</f>
        <v>โรงพยาบาลสามโคก  ประจำเดือน  พฤศจิกายน  2568</v>
      </c>
      <c r="B67" s="314"/>
      <c r="C67" s="314"/>
      <c r="D67" s="314"/>
      <c r="E67" s="314"/>
      <c r="F67" s="314"/>
      <c r="G67" s="314"/>
      <c r="H67" s="314"/>
      <c r="I67" s="315"/>
      <c r="J67" s="313" t="str">
        <f>ขร1!J243</f>
        <v>โรงพยาบาลสามโคก  ประจำเดือน  พฤศจิกายน  2568</v>
      </c>
      <c r="K67" s="314"/>
      <c r="L67" s="314"/>
      <c r="M67" s="314"/>
      <c r="N67" s="314"/>
      <c r="O67" s="314"/>
      <c r="P67" s="314"/>
      <c r="Q67" s="314"/>
      <c r="R67" s="315"/>
    </row>
    <row r="68" spans="1:18" ht="17.100000000000001" customHeight="1" x14ac:dyDescent="0.2">
      <c r="A68" s="308" t="s">
        <v>250</v>
      </c>
      <c r="B68" s="307"/>
      <c r="C68" s="307"/>
      <c r="D68" s="307"/>
      <c r="E68" s="307"/>
      <c r="F68" s="307"/>
      <c r="G68" s="307"/>
      <c r="H68" s="307"/>
      <c r="I68" s="309"/>
      <c r="J68" s="308" t="s">
        <v>255</v>
      </c>
      <c r="K68" s="316"/>
      <c r="L68" s="316"/>
      <c r="M68" s="316"/>
      <c r="N68" s="316"/>
      <c r="O68" s="316"/>
      <c r="P68" s="316"/>
      <c r="Q68" s="316"/>
      <c r="R68" s="309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  <c r="J69" s="149"/>
      <c r="K69" s="153"/>
      <c r="L69" s="150"/>
      <c r="M69" s="147"/>
      <c r="N69" s="147"/>
      <c r="O69" s="147"/>
      <c r="P69" s="150"/>
      <c r="Q69" s="150"/>
      <c r="R69" s="152"/>
    </row>
    <row r="70" spans="1:18" ht="17.100000000000001" customHeight="1" x14ac:dyDescent="0.2">
      <c r="A70" s="149"/>
      <c r="B70" s="307" t="s">
        <v>9</v>
      </c>
      <c r="C70" s="307"/>
      <c r="D70" s="307"/>
      <c r="E70" s="147"/>
      <c r="F70" s="147"/>
      <c r="G70" s="307" t="s">
        <v>10</v>
      </c>
      <c r="H70" s="307"/>
      <c r="I70" s="152"/>
      <c r="J70" s="149"/>
      <c r="K70" s="307" t="s">
        <v>9</v>
      </c>
      <c r="L70" s="307"/>
      <c r="M70" s="307"/>
      <c r="N70" s="147"/>
      <c r="O70" s="147"/>
      <c r="P70" s="307" t="s">
        <v>10</v>
      </c>
      <c r="Q70" s="307"/>
      <c r="R70" s="152"/>
    </row>
    <row r="71" spans="1:18" ht="17.100000000000001" customHeight="1" x14ac:dyDescent="0.2">
      <c r="A71" s="149"/>
      <c r="B71" s="306" t="s">
        <v>3</v>
      </c>
      <c r="C71" s="306"/>
      <c r="D71" s="154">
        <f>ข้าราชการ!E35</f>
        <v>0</v>
      </c>
      <c r="E71" s="154"/>
      <c r="F71" s="155"/>
      <c r="G71" s="150" t="s">
        <v>99</v>
      </c>
      <c r="H71" s="154">
        <f>ข้าราชการ!N35</f>
        <v>0</v>
      </c>
      <c r="I71" s="152"/>
      <c r="J71" s="149"/>
      <c r="K71" s="306" t="s">
        <v>3</v>
      </c>
      <c r="L71" s="306"/>
      <c r="M71" s="154">
        <f>ข้าราชการ!E48</f>
        <v>0</v>
      </c>
      <c r="N71" s="154"/>
      <c r="O71" s="155"/>
      <c r="P71" s="150" t="s">
        <v>99</v>
      </c>
      <c r="Q71" s="154">
        <f>ข้าราชการ!N48</f>
        <v>0</v>
      </c>
      <c r="R71" s="152"/>
    </row>
    <row r="72" spans="1:18" ht="17.100000000000001" customHeight="1" x14ac:dyDescent="0.2">
      <c r="A72" s="149"/>
      <c r="B72" s="306" t="s">
        <v>106</v>
      </c>
      <c r="C72" s="306"/>
      <c r="D72" s="154">
        <f>ข้าราชการ!F35</f>
        <v>0</v>
      </c>
      <c r="E72" s="154"/>
      <c r="F72" s="155"/>
      <c r="G72" s="150" t="s">
        <v>53</v>
      </c>
      <c r="H72" s="154">
        <f>ข้าราชการ!O35</f>
        <v>0</v>
      </c>
      <c r="I72" s="152"/>
      <c r="J72" s="149"/>
      <c r="K72" s="306" t="s">
        <v>106</v>
      </c>
      <c r="L72" s="306"/>
      <c r="M72" s="154">
        <f>ข้าราชการ!F48</f>
        <v>0</v>
      </c>
      <c r="N72" s="154"/>
      <c r="O72" s="155"/>
      <c r="P72" s="150" t="s">
        <v>53</v>
      </c>
      <c r="Q72" s="154">
        <f>ข้าราชการ!O48</f>
        <v>0</v>
      </c>
      <c r="R72" s="152"/>
    </row>
    <row r="73" spans="1:18" ht="17.100000000000001" customHeight="1" x14ac:dyDescent="0.2">
      <c r="A73" s="149"/>
      <c r="B73" s="306" t="s">
        <v>107</v>
      </c>
      <c r="C73" s="306"/>
      <c r="D73" s="154">
        <f>ข้าราชการ!G35</f>
        <v>0</v>
      </c>
      <c r="E73" s="154"/>
      <c r="F73" s="155"/>
      <c r="G73" s="150" t="s">
        <v>54</v>
      </c>
      <c r="H73" s="154">
        <f>ข้าราชการ!P35</f>
        <v>0</v>
      </c>
      <c r="I73" s="152"/>
      <c r="J73" s="149"/>
      <c r="K73" s="306" t="s">
        <v>107</v>
      </c>
      <c r="L73" s="306"/>
      <c r="M73" s="154">
        <f>ข้าราชการ!G48</f>
        <v>0</v>
      </c>
      <c r="N73" s="154"/>
      <c r="O73" s="155"/>
      <c r="P73" s="150" t="s">
        <v>54</v>
      </c>
      <c r="Q73" s="154">
        <f>ข้าราชการ!P48</f>
        <v>0</v>
      </c>
      <c r="R73" s="152"/>
    </row>
    <row r="74" spans="1:18" ht="17.100000000000001" customHeight="1" x14ac:dyDescent="0.2">
      <c r="A74" s="149"/>
      <c r="B74" s="306" t="s">
        <v>105</v>
      </c>
      <c r="C74" s="306"/>
      <c r="D74" s="154">
        <f>ข้าราชการ!H37</f>
        <v>0</v>
      </c>
      <c r="E74" s="154"/>
      <c r="F74" s="155"/>
      <c r="G74" s="150" t="s">
        <v>100</v>
      </c>
      <c r="H74" s="154">
        <f>ข้าราชการ!Q35</f>
        <v>0</v>
      </c>
      <c r="I74" s="152"/>
      <c r="J74" s="149"/>
      <c r="K74" s="306" t="s">
        <v>105</v>
      </c>
      <c r="L74" s="306"/>
      <c r="M74" s="154">
        <f>ข้าราชการ!H50</f>
        <v>0</v>
      </c>
      <c r="N74" s="154"/>
      <c r="O74" s="155"/>
      <c r="P74" s="150" t="s">
        <v>100</v>
      </c>
      <c r="Q74" s="154">
        <v>0</v>
      </c>
      <c r="R74" s="152"/>
    </row>
    <row r="75" spans="1:18" ht="17.100000000000001" customHeight="1" x14ac:dyDescent="0.2">
      <c r="A75" s="149"/>
      <c r="B75" s="306" t="s">
        <v>291</v>
      </c>
      <c r="C75" s="306"/>
      <c r="D75" s="154">
        <f>ข้าราชการ!I37</f>
        <v>0</v>
      </c>
      <c r="E75" s="154"/>
      <c r="F75" s="155"/>
      <c r="G75" s="150" t="s">
        <v>55</v>
      </c>
      <c r="H75" s="156">
        <f>ข้าราชการ!R35</f>
        <v>0</v>
      </c>
      <c r="I75" s="152"/>
      <c r="J75" s="149"/>
      <c r="K75" s="306" t="s">
        <v>291</v>
      </c>
      <c r="L75" s="306"/>
      <c r="M75" s="154">
        <f>ข้าราชการ!I50</f>
        <v>0</v>
      </c>
      <c r="N75" s="154"/>
      <c r="O75" s="155"/>
      <c r="P75" s="150" t="s">
        <v>55</v>
      </c>
      <c r="Q75" s="156">
        <f>ข้าราชการ!R48</f>
        <v>0</v>
      </c>
      <c r="R75" s="152"/>
    </row>
    <row r="76" spans="1:18" ht="17.100000000000001" customHeight="1" x14ac:dyDescent="0.2">
      <c r="A76" s="149"/>
      <c r="B76" s="306" t="s">
        <v>662</v>
      </c>
      <c r="C76" s="306"/>
      <c r="D76" s="154">
        <f>ข้าราชการ!J37</f>
        <v>0</v>
      </c>
      <c r="E76" s="154"/>
      <c r="F76" s="155"/>
      <c r="G76" s="153" t="s">
        <v>137</v>
      </c>
      <c r="H76" s="156">
        <f>ข้าราชการ!S37</f>
        <v>0</v>
      </c>
      <c r="I76" s="152"/>
      <c r="J76" s="149"/>
      <c r="K76" s="306" t="s">
        <v>120</v>
      </c>
      <c r="L76" s="306"/>
      <c r="M76" s="154">
        <f>ข้าราชการ!J50</f>
        <v>0</v>
      </c>
      <c r="N76" s="154"/>
      <c r="O76" s="155"/>
      <c r="P76" s="153" t="s">
        <v>137</v>
      </c>
      <c r="Q76" s="156">
        <f>ข้าราชการ!S50</f>
        <v>0</v>
      </c>
      <c r="R76" s="152"/>
    </row>
    <row r="77" spans="1:18" ht="17.100000000000001" customHeight="1" x14ac:dyDescent="0.2">
      <c r="A77" s="149"/>
      <c r="B77" s="306" t="s">
        <v>5</v>
      </c>
      <c r="C77" s="306"/>
      <c r="D77" s="154">
        <f>ข้าราชการ!K35</f>
        <v>0</v>
      </c>
      <c r="E77" s="154"/>
      <c r="F77" s="155"/>
      <c r="G77" s="150" t="s">
        <v>56</v>
      </c>
      <c r="H77" s="156">
        <f>ข้าราชการ!T37</f>
        <v>0</v>
      </c>
      <c r="I77" s="152"/>
      <c r="J77" s="149"/>
      <c r="K77" s="306" t="s">
        <v>5</v>
      </c>
      <c r="L77" s="306"/>
      <c r="M77" s="154">
        <f>ข้าราชการ!K48</f>
        <v>0</v>
      </c>
      <c r="N77" s="154"/>
      <c r="O77" s="155"/>
      <c r="P77" s="150" t="s">
        <v>56</v>
      </c>
      <c r="Q77" s="156">
        <f>ข้าราชการ!T50</f>
        <v>0</v>
      </c>
      <c r="R77" s="152"/>
    </row>
    <row r="78" spans="1:18" ht="17.100000000000001" customHeight="1" x14ac:dyDescent="0.2">
      <c r="A78" s="149"/>
      <c r="B78" s="150" t="s">
        <v>6</v>
      </c>
      <c r="C78" s="150"/>
      <c r="D78" s="154">
        <f>ข้าราชการ!L35</f>
        <v>0</v>
      </c>
      <c r="E78" s="154"/>
      <c r="F78" s="155"/>
      <c r="G78" s="150" t="s">
        <v>57</v>
      </c>
      <c r="H78" s="156">
        <f>ข้าราชการ!U37</f>
        <v>0</v>
      </c>
      <c r="I78" s="152"/>
      <c r="J78" s="149"/>
      <c r="K78" s="150" t="s">
        <v>6</v>
      </c>
      <c r="L78" s="150"/>
      <c r="M78" s="154">
        <f>ข้าราชการ!L48</f>
        <v>0</v>
      </c>
      <c r="N78" s="154"/>
      <c r="O78" s="155"/>
      <c r="P78" s="150" t="s">
        <v>57</v>
      </c>
      <c r="Q78" s="156">
        <f>ข้าราชการ!U50</f>
        <v>0</v>
      </c>
      <c r="R78" s="152"/>
    </row>
    <row r="79" spans="1:18" ht="17.100000000000001" customHeight="1" x14ac:dyDescent="0.2">
      <c r="A79" s="149"/>
      <c r="B79" s="306" t="s">
        <v>7</v>
      </c>
      <c r="C79" s="306"/>
      <c r="D79" s="154">
        <f>ข้าราชการ!M35</f>
        <v>0</v>
      </c>
      <c r="E79" s="154"/>
      <c r="F79" s="155"/>
      <c r="G79" s="150"/>
      <c r="H79" s="154"/>
      <c r="I79" s="152"/>
      <c r="J79" s="149"/>
      <c r="K79" s="306" t="s">
        <v>7</v>
      </c>
      <c r="L79" s="306"/>
      <c r="M79" s="154">
        <f>ข้าราชการ!M48</f>
        <v>0</v>
      </c>
      <c r="N79" s="154"/>
      <c r="O79" s="155"/>
      <c r="P79" s="150"/>
      <c r="Q79" s="154"/>
      <c r="R79" s="152"/>
    </row>
    <row r="80" spans="1:18" ht="17.100000000000001" customHeight="1" x14ac:dyDescent="0.2">
      <c r="A80" s="149"/>
      <c r="B80" s="307" t="s">
        <v>101</v>
      </c>
      <c r="C80" s="307"/>
      <c r="D80" s="154">
        <f>SUM(D71:D79)</f>
        <v>0</v>
      </c>
      <c r="E80" s="154"/>
      <c r="F80" s="157"/>
      <c r="G80" s="147" t="s">
        <v>102</v>
      </c>
      <c r="H80" s="157">
        <f>SUM(H71:H79)</f>
        <v>0</v>
      </c>
      <c r="I80" s="152"/>
      <c r="J80" s="149"/>
      <c r="K80" s="307" t="s">
        <v>101</v>
      </c>
      <c r="L80" s="307"/>
      <c r="M80" s="154">
        <f>SUM(M71:M79)</f>
        <v>0</v>
      </c>
      <c r="N80" s="154"/>
      <c r="O80" s="157"/>
      <c r="P80" s="147" t="s">
        <v>102</v>
      </c>
      <c r="Q80" s="157">
        <f>SUM(Q71:Q79)</f>
        <v>0</v>
      </c>
      <c r="R80" s="152"/>
    </row>
    <row r="81" spans="1:18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  <c r="J81" s="149"/>
      <c r="K81" s="150"/>
      <c r="L81" s="147" t="s">
        <v>103</v>
      </c>
      <c r="M81" s="157">
        <f>M80-Q80</f>
        <v>0</v>
      </c>
      <c r="N81" s="157"/>
      <c r="O81" s="158" t="s">
        <v>104</v>
      </c>
      <c r="Q81" s="150"/>
      <c r="R81" s="152"/>
    </row>
    <row r="82" spans="1:18" ht="17.100000000000001" customHeight="1" x14ac:dyDescent="0.2">
      <c r="A82" s="149"/>
      <c r="B82" s="150"/>
      <c r="C82" s="307" t="str">
        <f>"("&amp;BAHTTEXT(D81)&amp;")"</f>
        <v>(ศูนย์บาทถ้วน)</v>
      </c>
      <c r="D82" s="307"/>
      <c r="E82" s="307"/>
      <c r="F82" s="307"/>
      <c r="G82" s="307"/>
      <c r="H82" s="150"/>
      <c r="I82" s="152"/>
      <c r="J82" s="167"/>
      <c r="K82" s="150"/>
      <c r="L82" s="307" t="str">
        <f>"("&amp;BAHTTEXT(M81)&amp;")"</f>
        <v>(ศูนย์บาทถ้วน)</v>
      </c>
      <c r="M82" s="307"/>
      <c r="N82" s="307"/>
      <c r="O82" s="307"/>
      <c r="P82" s="307"/>
      <c r="Q82" s="150"/>
      <c r="R82" s="163"/>
    </row>
    <row r="83" spans="1:18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  <c r="J83" s="167"/>
      <c r="K83" s="150"/>
      <c r="L83" s="147"/>
      <c r="M83" s="147"/>
      <c r="N83" s="147"/>
      <c r="O83" s="147"/>
      <c r="P83" s="147"/>
      <c r="Q83" s="150"/>
      <c r="R83" s="163"/>
    </row>
    <row r="84" spans="1:18" ht="17.100000000000001" customHeight="1" x14ac:dyDescent="0.2">
      <c r="A84" s="149"/>
      <c r="B84" s="150"/>
      <c r="C84" s="150"/>
      <c r="D84" s="150"/>
      <c r="E84" s="150"/>
      <c r="F84" s="150"/>
      <c r="G84" s="150"/>
      <c r="H84" s="150"/>
      <c r="I84" s="152"/>
      <c r="J84" s="149"/>
      <c r="K84" s="150"/>
      <c r="L84" s="150"/>
      <c r="M84" s="150"/>
      <c r="N84" s="150"/>
      <c r="O84" s="150"/>
      <c r="P84" s="150"/>
      <c r="Q84" s="150"/>
      <c r="R84" s="152"/>
    </row>
    <row r="85" spans="1:18" ht="17.100000000000001" customHeight="1" x14ac:dyDescent="0.2">
      <c r="A85" s="149"/>
      <c r="I85" s="152"/>
      <c r="J85" s="149"/>
      <c r="R85" s="152"/>
    </row>
    <row r="86" spans="1:18" ht="17.100000000000001" customHeight="1" x14ac:dyDescent="0.2">
      <c r="A86" s="149"/>
      <c r="I86" s="152"/>
      <c r="J86" s="149"/>
      <c r="R86" s="152"/>
    </row>
    <row r="87" spans="1:18" ht="17.100000000000001" customHeight="1" x14ac:dyDescent="0.2">
      <c r="A87" s="308" t="s">
        <v>315</v>
      </c>
      <c r="B87" s="307"/>
      <c r="C87" s="307"/>
      <c r="D87" s="307"/>
      <c r="E87" s="307"/>
      <c r="F87" s="307"/>
      <c r="G87" s="307"/>
      <c r="H87" s="307"/>
      <c r="I87" s="309"/>
      <c r="J87" s="308" t="s">
        <v>315</v>
      </c>
      <c r="K87" s="307"/>
      <c r="L87" s="307"/>
      <c r="M87" s="307"/>
      <c r="N87" s="307"/>
      <c r="O87" s="307"/>
      <c r="P87" s="307"/>
      <c r="Q87" s="307"/>
      <c r="R87" s="309"/>
    </row>
    <row r="88" spans="1:18" ht="17.100000000000001" customHeight="1" x14ac:dyDescent="0.2">
      <c r="A88" s="310" t="s">
        <v>298</v>
      </c>
      <c r="B88" s="311"/>
      <c r="C88" s="311"/>
      <c r="D88" s="311"/>
      <c r="E88" s="311"/>
      <c r="F88" s="311"/>
      <c r="G88" s="311"/>
      <c r="H88" s="311"/>
      <c r="I88" s="312"/>
      <c r="J88" s="310" t="s">
        <v>298</v>
      </c>
      <c r="K88" s="311"/>
      <c r="L88" s="311"/>
      <c r="M88" s="311"/>
      <c r="N88" s="311"/>
      <c r="O88" s="311"/>
      <c r="P88" s="311"/>
      <c r="Q88" s="311"/>
      <c r="R88" s="312"/>
    </row>
    <row r="89" spans="1:18" ht="17.100000000000001" customHeight="1" x14ac:dyDescent="0.2">
      <c r="A89" s="313" t="str">
        <f>ขร1!J243</f>
        <v>โรงพยาบาลสามโคก  ประจำเดือน  พฤศจิกายน  2568</v>
      </c>
      <c r="B89" s="314"/>
      <c r="C89" s="314"/>
      <c r="D89" s="314"/>
      <c r="E89" s="314"/>
      <c r="F89" s="314"/>
      <c r="G89" s="314"/>
      <c r="H89" s="314"/>
      <c r="I89" s="315"/>
      <c r="J89" s="313" t="str">
        <f>ขร1!J243</f>
        <v>โรงพยาบาลสามโคก  ประจำเดือน  พฤศจิกายน  2568</v>
      </c>
      <c r="K89" s="314"/>
      <c r="L89" s="314"/>
      <c r="M89" s="314"/>
      <c r="N89" s="314"/>
      <c r="O89" s="314"/>
      <c r="P89" s="314"/>
      <c r="Q89" s="314"/>
      <c r="R89" s="315"/>
    </row>
    <row r="90" spans="1:18" ht="17.100000000000001" customHeight="1" x14ac:dyDescent="0.2">
      <c r="A90" s="308" t="s">
        <v>304</v>
      </c>
      <c r="B90" s="307"/>
      <c r="C90" s="307"/>
      <c r="D90" s="307"/>
      <c r="E90" s="307"/>
      <c r="F90" s="307"/>
      <c r="G90" s="307"/>
      <c r="H90" s="307"/>
      <c r="I90" s="309"/>
      <c r="J90" s="308" t="s">
        <v>540</v>
      </c>
      <c r="K90" s="307"/>
      <c r="L90" s="307"/>
      <c r="M90" s="307"/>
      <c r="N90" s="307"/>
      <c r="O90" s="307"/>
      <c r="P90" s="307"/>
      <c r="Q90" s="307"/>
      <c r="R90" s="309"/>
    </row>
    <row r="91" spans="1:18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  <c r="J91" s="149"/>
      <c r="K91" s="153"/>
      <c r="L91" s="150"/>
      <c r="M91" s="147"/>
      <c r="N91" s="147"/>
      <c r="O91" s="147"/>
      <c r="P91" s="150"/>
      <c r="Q91" s="150"/>
      <c r="R91" s="152"/>
    </row>
    <row r="92" spans="1:18" ht="17.100000000000001" customHeight="1" x14ac:dyDescent="0.2">
      <c r="A92" s="149"/>
      <c r="B92" s="307" t="s">
        <v>9</v>
      </c>
      <c r="C92" s="307"/>
      <c r="D92" s="307"/>
      <c r="E92" s="147"/>
      <c r="F92" s="147"/>
      <c r="G92" s="307" t="s">
        <v>10</v>
      </c>
      <c r="H92" s="307"/>
      <c r="I92" s="152"/>
      <c r="J92" s="149"/>
      <c r="K92" s="307" t="s">
        <v>9</v>
      </c>
      <c r="L92" s="307"/>
      <c r="M92" s="307"/>
      <c r="N92" s="147"/>
      <c r="O92" s="147"/>
      <c r="P92" s="307" t="s">
        <v>10</v>
      </c>
      <c r="Q92" s="307"/>
      <c r="R92" s="152"/>
    </row>
    <row r="93" spans="1:18" ht="17.100000000000001" customHeight="1" x14ac:dyDescent="0.2">
      <c r="A93" s="149"/>
      <c r="B93" s="306" t="s">
        <v>3</v>
      </c>
      <c r="C93" s="306"/>
      <c r="D93" s="154">
        <f>ข้าราชการ!E36</f>
        <v>0</v>
      </c>
      <c r="E93" s="154"/>
      <c r="F93" s="155"/>
      <c r="G93" s="150" t="s">
        <v>99</v>
      </c>
      <c r="H93" s="154">
        <f>ข้าราชการ!N36</f>
        <v>0</v>
      </c>
      <c r="I93" s="152"/>
      <c r="J93" s="149"/>
      <c r="K93" s="306" t="s">
        <v>3</v>
      </c>
      <c r="L93" s="306"/>
      <c r="M93" s="154">
        <f>ข้าราชการ!E49</f>
        <v>0</v>
      </c>
      <c r="N93" s="154"/>
      <c r="O93" s="155"/>
      <c r="P93" s="150" t="s">
        <v>99</v>
      </c>
      <c r="Q93" s="154">
        <f>ข้าราชการ!N49</f>
        <v>0</v>
      </c>
      <c r="R93" s="152"/>
    </row>
    <row r="94" spans="1:18" ht="17.100000000000001" customHeight="1" x14ac:dyDescent="0.2">
      <c r="A94" s="149"/>
      <c r="B94" s="306" t="s">
        <v>106</v>
      </c>
      <c r="C94" s="306"/>
      <c r="D94" s="154">
        <f>ข้าราชการ!F36</f>
        <v>0</v>
      </c>
      <c r="E94" s="154"/>
      <c r="F94" s="155"/>
      <c r="G94" s="150" t="s">
        <v>53</v>
      </c>
      <c r="H94" s="154">
        <f>ข้าราชการ!O36</f>
        <v>0</v>
      </c>
      <c r="I94" s="152"/>
      <c r="J94" s="149"/>
      <c r="K94" s="306" t="s">
        <v>106</v>
      </c>
      <c r="L94" s="306"/>
      <c r="M94" s="154">
        <f>ข้าราชการ!F49</f>
        <v>0</v>
      </c>
      <c r="N94" s="154"/>
      <c r="O94" s="155"/>
      <c r="P94" s="150" t="s">
        <v>53</v>
      </c>
      <c r="Q94" s="154">
        <f>ข้าราชการ!O49</f>
        <v>0</v>
      </c>
      <c r="R94" s="152"/>
    </row>
    <row r="95" spans="1:18" ht="17.100000000000001" customHeight="1" x14ac:dyDescent="0.2">
      <c r="A95" s="149"/>
      <c r="B95" s="306" t="s">
        <v>107</v>
      </c>
      <c r="C95" s="306"/>
      <c r="D95" s="154">
        <f>ข้าราชการ!G36</f>
        <v>0</v>
      </c>
      <c r="E95" s="154"/>
      <c r="F95" s="155"/>
      <c r="G95" s="150" t="s">
        <v>54</v>
      </c>
      <c r="H95" s="154">
        <f>ข้าราชการ!P36</f>
        <v>0</v>
      </c>
      <c r="I95" s="152"/>
      <c r="J95" s="149"/>
      <c r="K95" s="306" t="s">
        <v>107</v>
      </c>
      <c r="L95" s="306"/>
      <c r="M95" s="154">
        <f>ข้าราชการ!G49</f>
        <v>0</v>
      </c>
      <c r="N95" s="154"/>
      <c r="O95" s="155"/>
      <c r="P95" s="150" t="s">
        <v>54</v>
      </c>
      <c r="Q95" s="154">
        <f>ข้าราชการ!P49</f>
        <v>0</v>
      </c>
      <c r="R95" s="152"/>
    </row>
    <row r="96" spans="1:18" ht="17.100000000000001" customHeight="1" x14ac:dyDescent="0.2">
      <c r="A96" s="149"/>
      <c r="B96" s="306" t="s">
        <v>105</v>
      </c>
      <c r="C96" s="306"/>
      <c r="D96" s="154">
        <f>ข้าราชการ!H38</f>
        <v>0</v>
      </c>
      <c r="E96" s="154"/>
      <c r="F96" s="155"/>
      <c r="G96" s="150" t="s">
        <v>100</v>
      </c>
      <c r="H96" s="154">
        <f>ข้าราชการ!Q36</f>
        <v>0</v>
      </c>
      <c r="I96" s="152"/>
      <c r="J96" s="149"/>
      <c r="K96" s="306" t="s">
        <v>105</v>
      </c>
      <c r="L96" s="306"/>
      <c r="M96" s="154">
        <f>ข้าราชการ!H51</f>
        <v>0</v>
      </c>
      <c r="N96" s="154"/>
      <c r="O96" s="155"/>
      <c r="P96" s="150" t="s">
        <v>100</v>
      </c>
      <c r="Q96" s="154">
        <f>ข้าราชการ!Q51</f>
        <v>0</v>
      </c>
      <c r="R96" s="152"/>
    </row>
    <row r="97" spans="1:18" ht="17.100000000000001" customHeight="1" x14ac:dyDescent="0.2">
      <c r="A97" s="149"/>
      <c r="B97" s="306" t="s">
        <v>291</v>
      </c>
      <c r="C97" s="306"/>
      <c r="D97" s="154">
        <f>ข้าราชการ!I38</f>
        <v>0</v>
      </c>
      <c r="E97" s="154"/>
      <c r="F97" s="155"/>
      <c r="G97" s="150" t="s">
        <v>55</v>
      </c>
      <c r="H97" s="156">
        <f>ข้าราชการ!R36</f>
        <v>0</v>
      </c>
      <c r="I97" s="152"/>
      <c r="J97" s="149"/>
      <c r="K97" s="306" t="s">
        <v>291</v>
      </c>
      <c r="L97" s="306"/>
      <c r="M97" s="154">
        <f>ข้าราชการ!I51</f>
        <v>0</v>
      </c>
      <c r="N97" s="154"/>
      <c r="O97" s="155"/>
      <c r="P97" s="150" t="s">
        <v>55</v>
      </c>
      <c r="Q97" s="156">
        <v>0</v>
      </c>
      <c r="R97" s="152"/>
    </row>
    <row r="98" spans="1:18" ht="17.100000000000001" customHeight="1" x14ac:dyDescent="0.2">
      <c r="A98" s="149"/>
      <c r="B98" s="306" t="s">
        <v>662</v>
      </c>
      <c r="C98" s="306"/>
      <c r="D98" s="154">
        <f>ข้าราชการ!J38</f>
        <v>0</v>
      </c>
      <c r="E98" s="154"/>
      <c r="F98" s="155"/>
      <c r="G98" s="153" t="s">
        <v>137</v>
      </c>
      <c r="H98" s="156">
        <f>ข้าราชการ!S36</f>
        <v>0</v>
      </c>
      <c r="I98" s="152"/>
      <c r="J98" s="149"/>
      <c r="K98" s="306" t="s">
        <v>120</v>
      </c>
      <c r="L98" s="306"/>
      <c r="M98" s="154">
        <f>ข้าราชการ!J51</f>
        <v>0</v>
      </c>
      <c r="N98" s="154"/>
      <c r="O98" s="155"/>
      <c r="P98" s="153" t="s">
        <v>137</v>
      </c>
      <c r="Q98" s="156">
        <f>ข้าราชการ!S51</f>
        <v>0</v>
      </c>
      <c r="R98" s="152"/>
    </row>
    <row r="99" spans="1:18" ht="17.100000000000001" customHeight="1" x14ac:dyDescent="0.2">
      <c r="A99" s="149"/>
      <c r="B99" s="306" t="s">
        <v>5</v>
      </c>
      <c r="C99" s="306"/>
      <c r="D99" s="154">
        <f>ข้าราชการ!K38</f>
        <v>0</v>
      </c>
      <c r="E99" s="154"/>
      <c r="F99" s="155"/>
      <c r="G99" s="150" t="s">
        <v>56</v>
      </c>
      <c r="H99" s="156">
        <v>0</v>
      </c>
      <c r="I99" s="152"/>
      <c r="J99" s="149"/>
      <c r="K99" s="306" t="s">
        <v>5</v>
      </c>
      <c r="L99" s="306"/>
      <c r="M99" s="154">
        <f>ข้าราชการ!K49</f>
        <v>0</v>
      </c>
      <c r="N99" s="154"/>
      <c r="O99" s="155"/>
      <c r="P99" s="150" t="s">
        <v>56</v>
      </c>
      <c r="Q99" s="156">
        <f>ข้าราชการ!T51</f>
        <v>0</v>
      </c>
      <c r="R99" s="152"/>
    </row>
    <row r="100" spans="1:18" ht="17.100000000000001" customHeight="1" x14ac:dyDescent="0.2">
      <c r="A100" s="149"/>
      <c r="B100" s="150" t="s">
        <v>6</v>
      </c>
      <c r="C100" s="150"/>
      <c r="D100" s="154">
        <f>ข้าราชการ!L38</f>
        <v>0</v>
      </c>
      <c r="E100" s="154"/>
      <c r="F100" s="155"/>
      <c r="G100" s="150" t="s">
        <v>57</v>
      </c>
      <c r="H100" s="156">
        <v>0</v>
      </c>
      <c r="I100" s="152"/>
      <c r="J100" s="149"/>
      <c r="K100" s="150" t="s">
        <v>6</v>
      </c>
      <c r="L100" s="150"/>
      <c r="M100" s="154">
        <f>ข้าราชการ!L49</f>
        <v>0</v>
      </c>
      <c r="N100" s="154"/>
      <c r="O100" s="155"/>
      <c r="P100" s="150" t="s">
        <v>57</v>
      </c>
      <c r="Q100" s="156">
        <f>ข้าราชการ!U51</f>
        <v>0</v>
      </c>
      <c r="R100" s="152"/>
    </row>
    <row r="101" spans="1:18" ht="17.100000000000001" customHeight="1" x14ac:dyDescent="0.2">
      <c r="A101" s="149"/>
      <c r="B101" s="306" t="s">
        <v>7</v>
      </c>
      <c r="C101" s="306"/>
      <c r="D101" s="154">
        <f>ข้าราชการ!M38</f>
        <v>0</v>
      </c>
      <c r="E101" s="154"/>
      <c r="F101" s="155"/>
      <c r="G101" s="150"/>
      <c r="H101" s="154"/>
      <c r="I101" s="152"/>
      <c r="J101" s="149"/>
      <c r="K101" s="306" t="s">
        <v>7</v>
      </c>
      <c r="L101" s="306"/>
      <c r="M101" s="154">
        <f>ข้าราชการ!M49</f>
        <v>0</v>
      </c>
      <c r="N101" s="154"/>
      <c r="O101" s="155"/>
      <c r="P101" s="150"/>
      <c r="Q101" s="154"/>
      <c r="R101" s="152"/>
    </row>
    <row r="102" spans="1:18" ht="17.100000000000001" customHeight="1" x14ac:dyDescent="0.2">
      <c r="A102" s="149"/>
      <c r="B102" s="307" t="s">
        <v>101</v>
      </c>
      <c r="C102" s="307"/>
      <c r="D102" s="154">
        <f>SUM(D93:D101)</f>
        <v>0</v>
      </c>
      <c r="E102" s="154"/>
      <c r="F102" s="157"/>
      <c r="G102" s="147" t="s">
        <v>102</v>
      </c>
      <c r="H102" s="157">
        <f>SUM(H93:H101)</f>
        <v>0</v>
      </c>
      <c r="I102" s="152"/>
      <c r="J102" s="149"/>
      <c r="K102" s="307" t="s">
        <v>101</v>
      </c>
      <c r="L102" s="307"/>
      <c r="M102" s="154">
        <f>SUM(M93:M101)</f>
        <v>0</v>
      </c>
      <c r="N102" s="154"/>
      <c r="O102" s="157"/>
      <c r="P102" s="147" t="s">
        <v>102</v>
      </c>
      <c r="Q102" s="157">
        <f>SUM(Q93:Q101)</f>
        <v>0</v>
      </c>
      <c r="R102" s="152"/>
    </row>
    <row r="103" spans="1:18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  <c r="J103" s="149"/>
      <c r="K103" s="150"/>
      <c r="L103" s="147" t="s">
        <v>103</v>
      </c>
      <c r="M103" s="157">
        <f>M102-Q102</f>
        <v>0</v>
      </c>
      <c r="N103" s="157"/>
      <c r="O103" s="158" t="s">
        <v>104</v>
      </c>
      <c r="Q103" s="150"/>
      <c r="R103" s="152"/>
    </row>
    <row r="104" spans="1:18" ht="17.100000000000001" customHeight="1" x14ac:dyDescent="0.2">
      <c r="A104" s="149"/>
      <c r="B104" s="150"/>
      <c r="C104" s="307" t="str">
        <f>"("&amp;BAHTTEXT(D103)&amp;")"</f>
        <v>(ศูนย์บาทถ้วน)</v>
      </c>
      <c r="D104" s="307"/>
      <c r="E104" s="307"/>
      <c r="F104" s="307"/>
      <c r="G104" s="307"/>
      <c r="H104" s="150"/>
      <c r="I104" s="152"/>
      <c r="J104" s="167"/>
      <c r="K104" s="150"/>
      <c r="L104" s="307" t="str">
        <f>"("&amp;BAHTTEXT(M103)&amp;")"</f>
        <v>(ศูนย์บาทถ้วน)</v>
      </c>
      <c r="M104" s="307"/>
      <c r="N104" s="307"/>
      <c r="O104" s="307"/>
      <c r="P104" s="307"/>
      <c r="Q104" s="150"/>
      <c r="R104" s="163"/>
    </row>
    <row r="105" spans="1:18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  <c r="J105" s="167"/>
      <c r="K105" s="150"/>
      <c r="L105" s="147"/>
      <c r="M105" s="147"/>
      <c r="N105" s="147"/>
      <c r="O105" s="147"/>
      <c r="P105" s="147"/>
      <c r="Q105" s="150"/>
      <c r="R105" s="163"/>
    </row>
    <row r="106" spans="1:18" ht="17.100000000000001" customHeight="1" x14ac:dyDescent="0.2">
      <c r="A106" s="149"/>
      <c r="B106" s="150"/>
      <c r="C106" s="150"/>
      <c r="D106" s="150"/>
      <c r="E106" s="150"/>
      <c r="F106" s="150"/>
      <c r="G106" s="150"/>
      <c r="H106" s="150"/>
      <c r="I106" s="152"/>
      <c r="J106" s="149"/>
      <c r="K106" s="150"/>
      <c r="L106" s="150"/>
      <c r="M106" s="150"/>
      <c r="N106" s="150"/>
      <c r="O106" s="150"/>
      <c r="P106" s="150"/>
      <c r="Q106" s="150"/>
      <c r="R106" s="152"/>
    </row>
    <row r="107" spans="1:18" ht="17.100000000000001" customHeight="1" x14ac:dyDescent="0.2">
      <c r="A107" s="149"/>
      <c r="I107" s="152"/>
      <c r="J107" s="149"/>
      <c r="R107" s="152"/>
    </row>
    <row r="108" spans="1:18" ht="17.100000000000001" customHeight="1" x14ac:dyDescent="0.2">
      <c r="A108" s="149"/>
      <c r="I108" s="152"/>
      <c r="J108" s="149"/>
      <c r="R108" s="152"/>
    </row>
    <row r="109" spans="1:18" ht="17.100000000000001" customHeight="1" x14ac:dyDescent="0.2">
      <c r="A109" s="308" t="s">
        <v>315</v>
      </c>
      <c r="B109" s="307"/>
      <c r="C109" s="307"/>
      <c r="D109" s="307"/>
      <c r="E109" s="307"/>
      <c r="F109" s="307"/>
      <c r="G109" s="307"/>
      <c r="H109" s="307"/>
      <c r="I109" s="309"/>
      <c r="J109" s="308" t="s">
        <v>315</v>
      </c>
      <c r="K109" s="307"/>
      <c r="L109" s="307"/>
      <c r="M109" s="307"/>
      <c r="N109" s="307"/>
      <c r="O109" s="307"/>
      <c r="P109" s="307"/>
      <c r="Q109" s="307"/>
      <c r="R109" s="309"/>
    </row>
    <row r="110" spans="1:18" ht="17.100000000000001" customHeight="1" x14ac:dyDescent="0.2">
      <c r="A110" s="310" t="s">
        <v>298</v>
      </c>
      <c r="B110" s="311"/>
      <c r="C110" s="311"/>
      <c r="D110" s="311"/>
      <c r="E110" s="311"/>
      <c r="F110" s="311"/>
      <c r="G110" s="311"/>
      <c r="H110" s="311"/>
      <c r="I110" s="312"/>
      <c r="J110" s="310" t="s">
        <v>298</v>
      </c>
      <c r="K110" s="311"/>
      <c r="L110" s="311"/>
      <c r="M110" s="311"/>
      <c r="N110" s="311"/>
      <c r="O110" s="311"/>
      <c r="P110" s="311"/>
      <c r="Q110" s="311"/>
      <c r="R110" s="312"/>
    </row>
    <row r="111" spans="1:18" ht="17.100000000000001" customHeight="1" x14ac:dyDescent="0.2">
      <c r="A111" s="313" t="str">
        <f>ขร1!J243</f>
        <v>โรงพยาบาลสามโคก  ประจำเดือน  พฤศจิกายน  2568</v>
      </c>
      <c r="B111" s="314"/>
      <c r="C111" s="314"/>
      <c r="D111" s="314"/>
      <c r="E111" s="314"/>
      <c r="F111" s="314"/>
      <c r="G111" s="314"/>
      <c r="H111" s="314"/>
      <c r="I111" s="315"/>
      <c r="J111" s="313" t="str">
        <f>A23</f>
        <v>โรงพยาบาลสามโคก  ประจำเดือน  พฤศจิกายน  2568</v>
      </c>
      <c r="K111" s="314"/>
      <c r="L111" s="314"/>
      <c r="M111" s="314"/>
      <c r="N111" s="314"/>
      <c r="O111" s="314"/>
      <c r="P111" s="314"/>
      <c r="Q111" s="314"/>
      <c r="R111" s="315"/>
    </row>
    <row r="112" spans="1:18" ht="17.100000000000001" customHeight="1" x14ac:dyDescent="0.2">
      <c r="A112" s="308" t="s">
        <v>541</v>
      </c>
      <c r="B112" s="307"/>
      <c r="C112" s="307"/>
      <c r="D112" s="307"/>
      <c r="E112" s="307"/>
      <c r="F112" s="307"/>
      <c r="G112" s="307"/>
      <c r="H112" s="307"/>
      <c r="I112" s="309"/>
      <c r="J112" s="308" t="s">
        <v>375</v>
      </c>
      <c r="K112" s="307"/>
      <c r="L112" s="307"/>
      <c r="M112" s="307"/>
      <c r="N112" s="307"/>
      <c r="O112" s="307"/>
      <c r="P112" s="307"/>
      <c r="Q112" s="307"/>
      <c r="R112" s="309"/>
    </row>
    <row r="113" spans="1:18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  <c r="J113" s="149"/>
      <c r="K113" s="153"/>
      <c r="L113" s="150"/>
      <c r="M113" s="147"/>
      <c r="N113" s="147"/>
      <c r="O113" s="147"/>
      <c r="P113" s="150"/>
      <c r="Q113" s="150"/>
      <c r="R113" s="152"/>
    </row>
    <row r="114" spans="1:18" ht="17.100000000000001" customHeight="1" x14ac:dyDescent="0.2">
      <c r="A114" s="149"/>
      <c r="B114" s="307" t="s">
        <v>9</v>
      </c>
      <c r="C114" s="307"/>
      <c r="D114" s="307"/>
      <c r="E114" s="147"/>
      <c r="F114" s="147"/>
      <c r="G114" s="307" t="s">
        <v>10</v>
      </c>
      <c r="H114" s="307"/>
      <c r="I114" s="152"/>
      <c r="J114" s="149"/>
      <c r="K114" s="307" t="s">
        <v>9</v>
      </c>
      <c r="L114" s="307"/>
      <c r="M114" s="307"/>
      <c r="N114" s="147"/>
      <c r="O114" s="147"/>
      <c r="P114" s="307" t="s">
        <v>10</v>
      </c>
      <c r="Q114" s="307"/>
      <c r="R114" s="152"/>
    </row>
    <row r="115" spans="1:18" ht="17.100000000000001" customHeight="1" x14ac:dyDescent="0.2">
      <c r="A115" s="149"/>
      <c r="B115" s="306" t="s">
        <v>3</v>
      </c>
      <c r="C115" s="306"/>
      <c r="D115" s="154">
        <f>ข้าราชการ!E37</f>
        <v>0</v>
      </c>
      <c r="E115" s="154"/>
      <c r="F115" s="155"/>
      <c r="G115" s="150" t="s">
        <v>99</v>
      </c>
      <c r="H115" s="154">
        <f>ข้าราชการ!N37</f>
        <v>0</v>
      </c>
      <c r="I115" s="152"/>
      <c r="J115" s="149"/>
      <c r="K115" s="306" t="s">
        <v>3</v>
      </c>
      <c r="L115" s="306"/>
      <c r="M115" s="154">
        <v>0</v>
      </c>
      <c r="N115" s="154"/>
      <c r="O115" s="155"/>
      <c r="P115" s="150" t="s">
        <v>99</v>
      </c>
      <c r="Q115" s="154">
        <v>0</v>
      </c>
      <c r="R115" s="152"/>
    </row>
    <row r="116" spans="1:18" ht="17.100000000000001" customHeight="1" x14ac:dyDescent="0.2">
      <c r="A116" s="149"/>
      <c r="B116" s="306" t="s">
        <v>106</v>
      </c>
      <c r="C116" s="306"/>
      <c r="D116" s="154">
        <f>ข้าราชการ!F37</f>
        <v>0</v>
      </c>
      <c r="E116" s="154"/>
      <c r="F116" s="155"/>
      <c r="G116" s="150" t="s">
        <v>53</v>
      </c>
      <c r="H116" s="154">
        <f>ข้าราชการ!O37</f>
        <v>0</v>
      </c>
      <c r="I116" s="152"/>
      <c r="J116" s="149"/>
      <c r="K116" s="306" t="s">
        <v>106</v>
      </c>
      <c r="L116" s="306"/>
      <c r="M116" s="154">
        <v>0</v>
      </c>
      <c r="N116" s="154"/>
      <c r="O116" s="155"/>
      <c r="P116" s="150" t="s">
        <v>53</v>
      </c>
      <c r="Q116" s="154">
        <v>0</v>
      </c>
      <c r="R116" s="152"/>
    </row>
    <row r="117" spans="1:18" ht="17.100000000000001" customHeight="1" x14ac:dyDescent="0.2">
      <c r="A117" s="149"/>
      <c r="B117" s="306" t="s">
        <v>140</v>
      </c>
      <c r="C117" s="306"/>
      <c r="D117" s="154">
        <f>ข้าราชการ!G37</f>
        <v>0</v>
      </c>
      <c r="E117" s="154"/>
      <c r="F117" s="155"/>
      <c r="G117" s="150" t="s">
        <v>54</v>
      </c>
      <c r="H117" s="154">
        <f>ข้าราชการ!P37</f>
        <v>0</v>
      </c>
      <c r="I117" s="152"/>
      <c r="J117" s="149"/>
      <c r="K117" s="306" t="s">
        <v>107</v>
      </c>
      <c r="L117" s="306"/>
      <c r="M117" s="154">
        <v>0</v>
      </c>
      <c r="N117" s="154"/>
      <c r="O117" s="155"/>
      <c r="P117" s="150" t="s">
        <v>54</v>
      </c>
      <c r="Q117" s="154">
        <v>0</v>
      </c>
      <c r="R117" s="152"/>
    </row>
    <row r="118" spans="1:18" ht="17.100000000000001" customHeight="1" x14ac:dyDescent="0.2">
      <c r="A118" s="149"/>
      <c r="B118" s="306" t="s">
        <v>105</v>
      </c>
      <c r="C118" s="306"/>
      <c r="D118" s="154">
        <f>ข้าราชการ!H39</f>
        <v>0</v>
      </c>
      <c r="E118" s="154"/>
      <c r="F118" s="155"/>
      <c r="G118" s="150" t="s">
        <v>100</v>
      </c>
      <c r="H118" s="154">
        <f>ข้าราชการ!Q37</f>
        <v>0</v>
      </c>
      <c r="I118" s="152"/>
      <c r="J118" s="149"/>
      <c r="K118" s="306" t="s">
        <v>105</v>
      </c>
      <c r="L118" s="306"/>
      <c r="M118" s="154">
        <f>ข้าราชการ!H52</f>
        <v>0</v>
      </c>
      <c r="N118" s="154"/>
      <c r="O118" s="155"/>
      <c r="P118" s="150" t="s">
        <v>100</v>
      </c>
      <c r="Q118" s="154">
        <v>0</v>
      </c>
      <c r="R118" s="152"/>
    </row>
    <row r="119" spans="1:18" ht="17.100000000000001" customHeight="1" x14ac:dyDescent="0.2">
      <c r="A119" s="149"/>
      <c r="B119" s="306" t="s">
        <v>291</v>
      </c>
      <c r="C119" s="306"/>
      <c r="D119" s="154">
        <f>ข้าราชการ!I39</f>
        <v>0</v>
      </c>
      <c r="E119" s="154"/>
      <c r="F119" s="155"/>
      <c r="G119" s="150" t="s">
        <v>55</v>
      </c>
      <c r="H119" s="156">
        <f>ข้าราชการ!R39</f>
        <v>0</v>
      </c>
      <c r="I119" s="152"/>
      <c r="J119" s="149"/>
      <c r="K119" s="306" t="s">
        <v>291</v>
      </c>
      <c r="L119" s="306"/>
      <c r="M119" s="154">
        <f>ข้าราชการ!I52</f>
        <v>0</v>
      </c>
      <c r="N119" s="154"/>
      <c r="O119" s="155"/>
      <c r="P119" s="150" t="s">
        <v>55</v>
      </c>
      <c r="Q119" s="156">
        <v>0</v>
      </c>
      <c r="R119" s="152"/>
    </row>
    <row r="120" spans="1:18" ht="17.100000000000001" customHeight="1" x14ac:dyDescent="0.2">
      <c r="A120" s="149"/>
      <c r="B120" s="306" t="s">
        <v>120</v>
      </c>
      <c r="C120" s="306"/>
      <c r="D120" s="154">
        <f>ข้าราชการ!J39</f>
        <v>0</v>
      </c>
      <c r="E120" s="154"/>
      <c r="F120" s="155"/>
      <c r="G120" s="153" t="s">
        <v>137</v>
      </c>
      <c r="H120" s="156">
        <f>ข้าราชการ!S39</f>
        <v>0</v>
      </c>
      <c r="I120" s="152"/>
      <c r="J120" s="149"/>
      <c r="K120" s="306" t="s">
        <v>662</v>
      </c>
      <c r="L120" s="306"/>
      <c r="M120" s="154">
        <f>ข้าราชการ!J52</f>
        <v>0</v>
      </c>
      <c r="N120" s="154"/>
      <c r="O120" s="155"/>
      <c r="P120" s="153" t="s">
        <v>137</v>
      </c>
      <c r="Q120" s="156">
        <f>ข้าราชการ!S52</f>
        <v>0</v>
      </c>
      <c r="R120" s="152"/>
    </row>
    <row r="121" spans="1:18" ht="17.100000000000001" customHeight="1" x14ac:dyDescent="0.2">
      <c r="A121" s="149"/>
      <c r="B121" s="306" t="s">
        <v>5</v>
      </c>
      <c r="C121" s="306"/>
      <c r="D121" s="154">
        <f>ข้าราชการ!K37</f>
        <v>0</v>
      </c>
      <c r="E121" s="154"/>
      <c r="F121" s="155"/>
      <c r="G121" s="150" t="s">
        <v>56</v>
      </c>
      <c r="H121" s="156">
        <f>ข้าราชการ!T39</f>
        <v>0</v>
      </c>
      <c r="I121" s="152"/>
      <c r="J121" s="149"/>
      <c r="K121" s="306" t="s">
        <v>5</v>
      </c>
      <c r="L121" s="306"/>
      <c r="M121" s="154">
        <f>ข้าราชการ!K50</f>
        <v>0</v>
      </c>
      <c r="N121" s="154"/>
      <c r="O121" s="155"/>
      <c r="P121" s="150" t="s">
        <v>56</v>
      </c>
      <c r="Q121" s="156">
        <f>ข้าราชการ!T52</f>
        <v>0</v>
      </c>
      <c r="R121" s="152"/>
    </row>
    <row r="122" spans="1:18" ht="17.100000000000001" customHeight="1" x14ac:dyDescent="0.2">
      <c r="A122" s="149"/>
      <c r="B122" s="150" t="s">
        <v>6</v>
      </c>
      <c r="C122" s="150"/>
      <c r="D122" s="154">
        <f>ข้าราชการ!L37</f>
        <v>0</v>
      </c>
      <c r="E122" s="154"/>
      <c r="F122" s="155"/>
      <c r="G122" s="150" t="s">
        <v>57</v>
      </c>
      <c r="H122" s="156">
        <f>ข้าราชการ!U39</f>
        <v>0</v>
      </c>
      <c r="I122" s="152"/>
      <c r="J122" s="149"/>
      <c r="K122" s="150" t="s">
        <v>6</v>
      </c>
      <c r="L122" s="150"/>
      <c r="M122" s="154">
        <v>0</v>
      </c>
      <c r="N122" s="154"/>
      <c r="O122" s="155"/>
      <c r="P122" s="150" t="s">
        <v>57</v>
      </c>
      <c r="Q122" s="156">
        <f>ข้าราชการ!U52</f>
        <v>0</v>
      </c>
      <c r="R122" s="152"/>
    </row>
    <row r="123" spans="1:18" ht="17.100000000000001" customHeight="1" x14ac:dyDescent="0.2">
      <c r="A123" s="149"/>
      <c r="B123" s="306" t="s">
        <v>7</v>
      </c>
      <c r="C123" s="306"/>
      <c r="D123" s="154">
        <f>ข้าราชการ!M37</f>
        <v>0</v>
      </c>
      <c r="E123" s="154"/>
      <c r="F123" s="155"/>
      <c r="G123" s="150"/>
      <c r="H123" s="154"/>
      <c r="I123" s="152"/>
      <c r="J123" s="149"/>
      <c r="K123" s="306" t="s">
        <v>7</v>
      </c>
      <c r="L123" s="306"/>
      <c r="M123" s="154">
        <f>ข้าราชการ!M50</f>
        <v>0</v>
      </c>
      <c r="N123" s="154"/>
      <c r="O123" s="155"/>
      <c r="P123" s="150"/>
      <c r="Q123" s="154"/>
      <c r="R123" s="152"/>
    </row>
    <row r="124" spans="1:18" ht="17.100000000000001" customHeight="1" x14ac:dyDescent="0.2">
      <c r="A124" s="149"/>
      <c r="B124" s="307" t="s">
        <v>101</v>
      </c>
      <c r="C124" s="307"/>
      <c r="D124" s="157">
        <f>SUM(D115:D123)</f>
        <v>0</v>
      </c>
      <c r="E124" s="157"/>
      <c r="F124" s="157"/>
      <c r="G124" s="147" t="s">
        <v>102</v>
      </c>
      <c r="H124" s="157">
        <f>SUM(H115:H123)</f>
        <v>0</v>
      </c>
      <c r="I124" s="152"/>
      <c r="J124" s="149"/>
      <c r="K124" s="307" t="s">
        <v>101</v>
      </c>
      <c r="L124" s="307"/>
      <c r="M124" s="157">
        <f>SUM(M115:M123)</f>
        <v>0</v>
      </c>
      <c r="N124" s="157"/>
      <c r="O124" s="157"/>
      <c r="P124" s="147" t="s">
        <v>102</v>
      </c>
      <c r="Q124" s="157">
        <f>SUM(Q115:Q123)</f>
        <v>0</v>
      </c>
      <c r="R124" s="152"/>
    </row>
    <row r="125" spans="1:18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  <c r="J125" s="149"/>
      <c r="K125" s="150"/>
      <c r="L125" s="147" t="s">
        <v>103</v>
      </c>
      <c r="M125" s="157">
        <f>M124-Q124</f>
        <v>0</v>
      </c>
      <c r="N125" s="157"/>
      <c r="O125" s="158" t="s">
        <v>104</v>
      </c>
      <c r="Q125" s="150"/>
      <c r="R125" s="152"/>
    </row>
    <row r="126" spans="1:18" ht="17.100000000000001" customHeight="1" x14ac:dyDescent="0.2">
      <c r="A126" s="149"/>
      <c r="B126" s="150"/>
      <c r="C126" s="307" t="str">
        <f>"("&amp;BAHTTEXT(D125)&amp;")"</f>
        <v>(ศูนย์บาทถ้วน)</v>
      </c>
      <c r="D126" s="307"/>
      <c r="E126" s="307"/>
      <c r="F126" s="307"/>
      <c r="G126" s="307"/>
      <c r="H126" s="150"/>
      <c r="I126" s="152"/>
      <c r="J126" s="149"/>
      <c r="K126" s="150"/>
      <c r="L126" s="307" t="str">
        <f>"("&amp;BAHTTEXT(M125)&amp;")"</f>
        <v>(ศูนย์บาทถ้วน)</v>
      </c>
      <c r="M126" s="307"/>
      <c r="N126" s="307"/>
      <c r="O126" s="307"/>
      <c r="P126" s="307"/>
      <c r="Q126" s="150"/>
      <c r="R126" s="152"/>
    </row>
    <row r="127" spans="1:18" ht="17.100000000000001" customHeight="1" x14ac:dyDescent="0.2">
      <c r="A127" s="149"/>
      <c r="B127" s="150"/>
      <c r="C127" s="147"/>
      <c r="D127" s="147"/>
      <c r="E127" s="147"/>
      <c r="F127" s="147"/>
      <c r="G127" s="147"/>
      <c r="H127" s="150"/>
      <c r="I127" s="152"/>
      <c r="J127" s="149"/>
      <c r="K127" s="150"/>
      <c r="L127" s="147"/>
      <c r="M127" s="147"/>
      <c r="N127" s="147"/>
      <c r="O127" s="147"/>
      <c r="P127" s="147"/>
      <c r="Q127" s="150"/>
      <c r="R127" s="152"/>
    </row>
    <row r="128" spans="1:18" ht="17.100000000000001" customHeight="1" x14ac:dyDescent="0.2">
      <c r="A128" s="149"/>
      <c r="B128" s="150"/>
      <c r="C128" s="150"/>
      <c r="D128" s="150"/>
      <c r="E128" s="150"/>
      <c r="F128" s="150"/>
      <c r="G128" s="150"/>
      <c r="H128" s="150"/>
      <c r="I128" s="152"/>
      <c r="J128" s="149"/>
      <c r="K128" s="150"/>
      <c r="L128" s="150"/>
      <c r="M128" s="150"/>
      <c r="N128" s="150"/>
      <c r="O128" s="150"/>
      <c r="P128" s="150"/>
      <c r="Q128" s="150"/>
      <c r="R128" s="152"/>
    </row>
    <row r="129" spans="1:18" ht="17.100000000000001" customHeight="1" x14ac:dyDescent="0.2">
      <c r="A129" s="149"/>
      <c r="I129" s="152"/>
      <c r="J129" s="149"/>
      <c r="R129" s="152"/>
    </row>
    <row r="130" spans="1:18" ht="17.100000000000001" customHeight="1" x14ac:dyDescent="0.2">
      <c r="A130" s="149"/>
      <c r="I130" s="152"/>
      <c r="J130" s="149"/>
      <c r="R130" s="152"/>
    </row>
    <row r="131" spans="1:18" ht="17.100000000000001" customHeight="1" x14ac:dyDescent="0.2">
      <c r="A131" s="308" t="s">
        <v>315</v>
      </c>
      <c r="B131" s="307"/>
      <c r="C131" s="307"/>
      <c r="D131" s="307"/>
      <c r="E131" s="307"/>
      <c r="F131" s="307"/>
      <c r="G131" s="307"/>
      <c r="H131" s="307"/>
      <c r="I131" s="309"/>
      <c r="J131" s="308" t="s">
        <v>315</v>
      </c>
      <c r="K131" s="307"/>
      <c r="L131" s="307"/>
      <c r="M131" s="307"/>
      <c r="N131" s="307"/>
      <c r="O131" s="307"/>
      <c r="P131" s="307"/>
      <c r="Q131" s="307"/>
      <c r="R131" s="309"/>
    </row>
    <row r="132" spans="1:18" ht="17.100000000000001" customHeight="1" x14ac:dyDescent="0.2">
      <c r="A132" s="310" t="s">
        <v>298</v>
      </c>
      <c r="B132" s="311"/>
      <c r="C132" s="311"/>
      <c r="D132" s="311"/>
      <c r="E132" s="311"/>
      <c r="F132" s="311"/>
      <c r="G132" s="311"/>
      <c r="H132" s="311"/>
      <c r="I132" s="312"/>
      <c r="J132" s="310" t="s">
        <v>298</v>
      </c>
      <c r="K132" s="311"/>
      <c r="L132" s="311"/>
      <c r="M132" s="311"/>
      <c r="N132" s="311"/>
      <c r="O132" s="311"/>
      <c r="P132" s="311"/>
      <c r="Q132" s="311"/>
      <c r="R132" s="312"/>
    </row>
    <row r="133" spans="1:18" ht="17.100000000000001" customHeight="1" x14ac:dyDescent="0.2">
      <c r="A133" s="313" t="str">
        <f>ขร1!J243</f>
        <v>โรงพยาบาลสามโคก  ประจำเดือน  พฤศจิกายน  2568</v>
      </c>
      <c r="B133" s="314"/>
      <c r="C133" s="314"/>
      <c r="D133" s="314"/>
      <c r="E133" s="314"/>
      <c r="F133" s="314"/>
      <c r="G133" s="314"/>
      <c r="H133" s="314"/>
      <c r="I133" s="315"/>
      <c r="J133" s="313" t="str">
        <f>J111</f>
        <v>โรงพยาบาลสามโคก  ประจำเดือน  พฤศจิกายน  2568</v>
      </c>
      <c r="K133" s="314"/>
      <c r="L133" s="314"/>
      <c r="M133" s="314"/>
      <c r="N133" s="314"/>
      <c r="O133" s="314"/>
      <c r="P133" s="314"/>
      <c r="Q133" s="314"/>
      <c r="R133" s="315"/>
    </row>
    <row r="134" spans="1:18" ht="17.100000000000001" customHeight="1" x14ac:dyDescent="0.2">
      <c r="A134" s="308" t="s">
        <v>294</v>
      </c>
      <c r="B134" s="307"/>
      <c r="C134" s="307"/>
      <c r="D134" s="307"/>
      <c r="E134" s="307"/>
      <c r="F134" s="307"/>
      <c r="G134" s="307"/>
      <c r="H134" s="307"/>
      <c r="I134" s="309"/>
      <c r="J134" s="308" t="s">
        <v>326</v>
      </c>
      <c r="K134" s="316"/>
      <c r="L134" s="316"/>
      <c r="M134" s="316"/>
      <c r="N134" s="316"/>
      <c r="O134" s="316"/>
      <c r="P134" s="316"/>
      <c r="Q134" s="316"/>
      <c r="R134" s="309"/>
    </row>
    <row r="135" spans="1:18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63"/>
      <c r="J135" s="149"/>
      <c r="K135" s="153"/>
      <c r="L135" s="150"/>
      <c r="M135" s="147"/>
      <c r="N135" s="147"/>
      <c r="O135" s="147"/>
      <c r="P135" s="150"/>
      <c r="Q135" s="150"/>
      <c r="R135" s="152"/>
    </row>
    <row r="136" spans="1:18" ht="17.100000000000001" customHeight="1" x14ac:dyDescent="0.2">
      <c r="A136" s="149"/>
      <c r="B136" s="307" t="s">
        <v>9</v>
      </c>
      <c r="C136" s="307"/>
      <c r="D136" s="307"/>
      <c r="E136" s="147"/>
      <c r="F136" s="147"/>
      <c r="G136" s="307" t="s">
        <v>10</v>
      </c>
      <c r="H136" s="307"/>
      <c r="I136" s="148"/>
      <c r="J136" s="149"/>
      <c r="K136" s="307" t="s">
        <v>9</v>
      </c>
      <c r="L136" s="307"/>
      <c r="M136" s="307"/>
      <c r="N136" s="147"/>
      <c r="O136" s="147"/>
      <c r="P136" s="307" t="s">
        <v>10</v>
      </c>
      <c r="Q136" s="307"/>
      <c r="R136" s="152"/>
    </row>
    <row r="137" spans="1:18" ht="17.100000000000001" customHeight="1" x14ac:dyDescent="0.2">
      <c r="A137" s="149"/>
      <c r="B137" s="306" t="s">
        <v>3</v>
      </c>
      <c r="C137" s="306"/>
      <c r="D137" s="154">
        <f>ข้าราชการ!E38</f>
        <v>0</v>
      </c>
      <c r="E137" s="154"/>
      <c r="F137" s="155"/>
      <c r="G137" s="150" t="s">
        <v>99</v>
      </c>
      <c r="H137" s="154">
        <f>ข้าราชการ!N40</f>
        <v>0</v>
      </c>
      <c r="I137" s="164"/>
      <c r="J137" s="149"/>
      <c r="K137" s="306" t="s">
        <v>3</v>
      </c>
      <c r="L137" s="306"/>
      <c r="M137" s="154"/>
      <c r="N137" s="154"/>
      <c r="O137" s="155"/>
      <c r="P137" s="150" t="s">
        <v>99</v>
      </c>
      <c r="Q137" s="154">
        <v>0</v>
      </c>
      <c r="R137" s="152"/>
    </row>
    <row r="138" spans="1:18" ht="17.100000000000001" customHeight="1" x14ac:dyDescent="0.2">
      <c r="A138" s="149"/>
      <c r="B138" s="306" t="s">
        <v>106</v>
      </c>
      <c r="C138" s="306"/>
      <c r="D138" s="154">
        <f>ข้าราชการ!F38</f>
        <v>0</v>
      </c>
      <c r="E138" s="154"/>
      <c r="F138" s="155"/>
      <c r="G138" s="150" t="s">
        <v>53</v>
      </c>
      <c r="H138" s="154">
        <f>ข้าราชการ!O40</f>
        <v>0</v>
      </c>
      <c r="I138" s="164"/>
      <c r="J138" s="149"/>
      <c r="K138" s="306" t="s">
        <v>106</v>
      </c>
      <c r="L138" s="306"/>
      <c r="M138" s="154">
        <v>0</v>
      </c>
      <c r="N138" s="154"/>
      <c r="O138" s="155"/>
      <c r="P138" s="150" t="s">
        <v>53</v>
      </c>
      <c r="Q138" s="154">
        <v>0</v>
      </c>
      <c r="R138" s="152"/>
    </row>
    <row r="139" spans="1:18" ht="17.100000000000001" customHeight="1" x14ac:dyDescent="0.2">
      <c r="A139" s="149"/>
      <c r="B139" s="306" t="s">
        <v>107</v>
      </c>
      <c r="C139" s="306"/>
      <c r="D139" s="154">
        <f>ข้าราชการ!G38</f>
        <v>0</v>
      </c>
      <c r="E139" s="154"/>
      <c r="F139" s="155"/>
      <c r="G139" s="150" t="s">
        <v>54</v>
      </c>
      <c r="H139" s="154">
        <f>ข้าราชการ!P40</f>
        <v>0</v>
      </c>
      <c r="I139" s="164"/>
      <c r="J139" s="149"/>
      <c r="K139" s="306" t="s">
        <v>107</v>
      </c>
      <c r="L139" s="306"/>
      <c r="M139" s="154">
        <v>0</v>
      </c>
      <c r="N139" s="154"/>
      <c r="O139" s="155"/>
      <c r="P139" s="150" t="s">
        <v>54</v>
      </c>
      <c r="Q139" s="154">
        <v>0</v>
      </c>
      <c r="R139" s="152"/>
    </row>
    <row r="140" spans="1:18" ht="16.5" customHeight="1" x14ac:dyDescent="0.2">
      <c r="A140" s="149"/>
      <c r="B140" s="306" t="s">
        <v>105</v>
      </c>
      <c r="C140" s="306"/>
      <c r="D140" s="154">
        <f>ข้าราชการ!H40</f>
        <v>0</v>
      </c>
      <c r="E140" s="154"/>
      <c r="F140" s="155"/>
      <c r="G140" s="150" t="s">
        <v>100</v>
      </c>
      <c r="H140" s="154">
        <f>ข้าราชการ!Q40</f>
        <v>0</v>
      </c>
      <c r="I140" s="164"/>
      <c r="J140" s="149"/>
      <c r="K140" s="306" t="s">
        <v>105</v>
      </c>
      <c r="L140" s="306"/>
      <c r="M140" s="154">
        <f>ข้าราชการ!H53</f>
        <v>0</v>
      </c>
      <c r="N140" s="154"/>
      <c r="O140" s="155"/>
      <c r="P140" s="150" t="s">
        <v>100</v>
      </c>
      <c r="Q140" s="154">
        <f>ข้าราชการ!Q53</f>
        <v>0</v>
      </c>
      <c r="R140" s="152"/>
    </row>
    <row r="141" spans="1:18" ht="17.100000000000001" customHeight="1" x14ac:dyDescent="0.2">
      <c r="A141" s="149"/>
      <c r="B141" s="306" t="s">
        <v>291</v>
      </c>
      <c r="C141" s="306"/>
      <c r="D141" s="154">
        <f>ข้าราชการ!I40</f>
        <v>0</v>
      </c>
      <c r="E141" s="154"/>
      <c r="F141" s="155"/>
      <c r="G141" s="150" t="s">
        <v>55</v>
      </c>
      <c r="H141" s="156">
        <f>ข้าราชการ!R40</f>
        <v>0</v>
      </c>
      <c r="I141" s="165"/>
      <c r="J141" s="149"/>
      <c r="K141" s="306" t="s">
        <v>291</v>
      </c>
      <c r="L141" s="306"/>
      <c r="M141" s="154">
        <f>ข้าราชการ!I53</f>
        <v>0</v>
      </c>
      <c r="N141" s="154"/>
      <c r="O141" s="155"/>
      <c r="P141" s="150" t="s">
        <v>55</v>
      </c>
      <c r="Q141" s="156">
        <v>0</v>
      </c>
      <c r="R141" s="152"/>
    </row>
    <row r="142" spans="1:18" ht="17.100000000000001" customHeight="1" x14ac:dyDescent="0.2">
      <c r="A142" s="149"/>
      <c r="B142" s="306" t="s">
        <v>662</v>
      </c>
      <c r="C142" s="306"/>
      <c r="D142" s="154">
        <f>ข้าราชการ!J40</f>
        <v>0</v>
      </c>
      <c r="E142" s="154"/>
      <c r="F142" s="155"/>
      <c r="G142" s="153" t="s">
        <v>137</v>
      </c>
      <c r="H142" s="156">
        <f>ข้าราชการ!S40</f>
        <v>0</v>
      </c>
      <c r="I142" s="165"/>
      <c r="J142" s="149"/>
      <c r="K142" s="306" t="s">
        <v>662</v>
      </c>
      <c r="L142" s="306"/>
      <c r="M142" s="154">
        <f>ข้าราชการ!J53</f>
        <v>0</v>
      </c>
      <c r="N142" s="154"/>
      <c r="O142" s="155"/>
      <c r="P142" s="153" t="s">
        <v>137</v>
      </c>
      <c r="Q142" s="156">
        <v>0</v>
      </c>
      <c r="R142" s="152"/>
    </row>
    <row r="143" spans="1:18" ht="17.100000000000001" customHeight="1" x14ac:dyDescent="0.2">
      <c r="A143" s="149"/>
      <c r="B143" s="306" t="s">
        <v>5</v>
      </c>
      <c r="C143" s="306"/>
      <c r="D143" s="168">
        <f>ข้าราชการ!K40</f>
        <v>0</v>
      </c>
      <c r="E143" s="154"/>
      <c r="F143" s="155"/>
      <c r="G143" s="150" t="s">
        <v>56</v>
      </c>
      <c r="H143" s="156">
        <f>ข้าราชการ!T40</f>
        <v>0</v>
      </c>
      <c r="I143" s="165"/>
      <c r="J143" s="149"/>
      <c r="K143" s="306" t="s">
        <v>5</v>
      </c>
      <c r="L143" s="306"/>
      <c r="M143" s="154">
        <f>ข้าราชการ!K51</f>
        <v>0</v>
      </c>
      <c r="N143" s="154"/>
      <c r="O143" s="155"/>
      <c r="P143" s="150" t="s">
        <v>56</v>
      </c>
      <c r="Q143" s="156">
        <f>ข้าราชการ!T53</f>
        <v>0</v>
      </c>
      <c r="R143" s="152"/>
    </row>
    <row r="144" spans="1:18" ht="17.100000000000001" customHeight="1" x14ac:dyDescent="0.2">
      <c r="A144" s="149"/>
      <c r="B144" s="150" t="s">
        <v>6</v>
      </c>
      <c r="C144" s="150"/>
      <c r="D144" s="154">
        <f>ข้าราชการ!L40</f>
        <v>0</v>
      </c>
      <c r="E144" s="154"/>
      <c r="F144" s="155"/>
      <c r="G144" s="150" t="s">
        <v>57</v>
      </c>
      <c r="H144" s="156">
        <f>ข้าราชการ!U40</f>
        <v>0</v>
      </c>
      <c r="I144" s="165"/>
      <c r="J144" s="149"/>
      <c r="K144" s="150" t="s">
        <v>6</v>
      </c>
      <c r="L144" s="150"/>
      <c r="M144" s="154">
        <f>ข้าราชการ!L51</f>
        <v>0</v>
      </c>
      <c r="N144" s="154"/>
      <c r="O144" s="155"/>
      <c r="P144" s="150" t="s">
        <v>57</v>
      </c>
      <c r="Q144" s="156">
        <f>ข้าราชการ!U53</f>
        <v>0</v>
      </c>
      <c r="R144" s="152"/>
    </row>
    <row r="145" spans="1:18" ht="17.100000000000001" customHeight="1" x14ac:dyDescent="0.2">
      <c r="A145" s="149"/>
      <c r="B145" s="306" t="s">
        <v>7</v>
      </c>
      <c r="C145" s="306"/>
      <c r="D145" s="154">
        <f>ข้าราชการ!M40</f>
        <v>0</v>
      </c>
      <c r="E145" s="154"/>
      <c r="F145" s="155"/>
      <c r="G145" s="150"/>
      <c r="H145" s="154"/>
      <c r="I145" s="164"/>
      <c r="J145" s="149"/>
      <c r="K145" s="306" t="s">
        <v>7</v>
      </c>
      <c r="L145" s="306"/>
      <c r="M145" s="154">
        <f>ข้าราชการ!M51</f>
        <v>0</v>
      </c>
      <c r="N145" s="154"/>
      <c r="O145" s="155"/>
      <c r="P145" s="150"/>
      <c r="Q145" s="154"/>
      <c r="R145" s="152"/>
    </row>
    <row r="146" spans="1:18" ht="17.100000000000001" customHeight="1" x14ac:dyDescent="0.2">
      <c r="A146" s="149"/>
      <c r="B146" s="307" t="s">
        <v>101</v>
      </c>
      <c r="C146" s="307"/>
      <c r="D146" s="157">
        <f>SUM(D137:D145)</f>
        <v>0</v>
      </c>
      <c r="E146" s="157"/>
      <c r="F146" s="157"/>
      <c r="G146" s="147" t="s">
        <v>102</v>
      </c>
      <c r="H146" s="157">
        <f>SUM(H137:H145)</f>
        <v>0</v>
      </c>
      <c r="I146" s="166"/>
      <c r="J146" s="149"/>
      <c r="K146" s="307" t="s">
        <v>101</v>
      </c>
      <c r="L146" s="307"/>
      <c r="M146" s="157">
        <f>SUM(M137:M145)</f>
        <v>0</v>
      </c>
      <c r="N146" s="157"/>
      <c r="O146" s="157"/>
      <c r="P146" s="147" t="s">
        <v>102</v>
      </c>
      <c r="Q146" s="157">
        <f>SUM(Q137:Q145)</f>
        <v>0</v>
      </c>
      <c r="R146" s="152"/>
    </row>
    <row r="147" spans="1:18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63"/>
      <c r="J147" s="149"/>
      <c r="K147" s="150"/>
      <c r="L147" s="147" t="s">
        <v>103</v>
      </c>
      <c r="M147" s="157">
        <f>M146-Q146</f>
        <v>0</v>
      </c>
      <c r="N147" s="157"/>
      <c r="O147" s="158" t="s">
        <v>104</v>
      </c>
      <c r="Q147" s="150"/>
      <c r="R147" s="152"/>
    </row>
    <row r="148" spans="1:18" ht="17.100000000000001" customHeight="1" x14ac:dyDescent="0.2">
      <c r="A148" s="149"/>
      <c r="B148" s="150"/>
      <c r="C148" s="307" t="str">
        <f>"("&amp;BAHTTEXT(D147)&amp;")"</f>
        <v>(ศูนย์บาทถ้วน)</v>
      </c>
      <c r="D148" s="307"/>
      <c r="E148" s="307"/>
      <c r="F148" s="307"/>
      <c r="G148" s="307"/>
      <c r="H148" s="150"/>
      <c r="I148" s="148"/>
      <c r="J148" s="149"/>
      <c r="K148" s="150"/>
      <c r="L148" s="307" t="str">
        <f>"("&amp;BAHTTEXT(M147)&amp;")"</f>
        <v>(ศูนย์บาทถ้วน)</v>
      </c>
      <c r="M148" s="307"/>
      <c r="N148" s="307"/>
      <c r="O148" s="307"/>
      <c r="P148" s="307"/>
      <c r="Q148" s="150"/>
      <c r="R148" s="152"/>
    </row>
    <row r="149" spans="1:18" ht="17.100000000000001" customHeight="1" x14ac:dyDescent="0.2">
      <c r="A149" s="149"/>
      <c r="B149" s="150"/>
      <c r="C149" s="147"/>
      <c r="D149" s="147"/>
      <c r="E149" s="147"/>
      <c r="F149" s="147"/>
      <c r="G149" s="147"/>
      <c r="H149" s="150"/>
      <c r="I149" s="148"/>
      <c r="J149" s="149"/>
      <c r="K149" s="150"/>
      <c r="L149" s="147"/>
      <c r="M149" s="147"/>
      <c r="N149" s="147"/>
      <c r="O149" s="147"/>
      <c r="P149" s="147"/>
      <c r="Q149" s="150"/>
      <c r="R149" s="152"/>
    </row>
    <row r="150" spans="1:18" ht="17.100000000000001" customHeight="1" x14ac:dyDescent="0.2">
      <c r="A150" s="149"/>
      <c r="B150" s="150"/>
      <c r="C150" s="150"/>
      <c r="D150" s="150"/>
      <c r="E150" s="150"/>
      <c r="F150" s="150"/>
      <c r="G150" s="150"/>
      <c r="H150" s="150"/>
      <c r="I150" s="163"/>
      <c r="J150" s="149"/>
      <c r="K150" s="150"/>
      <c r="L150" s="150"/>
      <c r="M150" s="150"/>
      <c r="N150" s="150"/>
      <c r="O150" s="150"/>
      <c r="P150" s="150"/>
      <c r="Q150" s="150"/>
      <c r="R150" s="152"/>
    </row>
    <row r="151" spans="1:18" ht="17.100000000000001" customHeight="1" x14ac:dyDescent="0.2">
      <c r="A151" s="149"/>
      <c r="I151" s="148"/>
      <c r="J151" s="149"/>
      <c r="R151" s="152"/>
    </row>
    <row r="152" spans="1:18" ht="17.100000000000001" customHeight="1" x14ac:dyDescent="0.2">
      <c r="A152" s="149"/>
      <c r="I152" s="152"/>
      <c r="J152" s="149"/>
      <c r="R152" s="152"/>
    </row>
    <row r="153" spans="1:18" ht="17.100000000000001" customHeight="1" x14ac:dyDescent="0.2">
      <c r="A153" s="308" t="s">
        <v>315</v>
      </c>
      <c r="B153" s="307"/>
      <c r="C153" s="307"/>
      <c r="D153" s="307"/>
      <c r="E153" s="307"/>
      <c r="F153" s="307"/>
      <c r="G153" s="307"/>
      <c r="H153" s="307"/>
      <c r="I153" s="309"/>
      <c r="J153" s="308" t="s">
        <v>315</v>
      </c>
      <c r="K153" s="307"/>
      <c r="L153" s="307"/>
      <c r="M153" s="307"/>
      <c r="N153" s="307"/>
      <c r="O153" s="307"/>
      <c r="P153" s="307"/>
      <c r="Q153" s="307"/>
      <c r="R153" s="309"/>
    </row>
    <row r="154" spans="1:18" ht="17.100000000000001" customHeight="1" x14ac:dyDescent="0.2">
      <c r="A154" s="310" t="s">
        <v>298</v>
      </c>
      <c r="B154" s="311"/>
      <c r="C154" s="311"/>
      <c r="D154" s="311"/>
      <c r="E154" s="311"/>
      <c r="F154" s="311"/>
      <c r="G154" s="311"/>
      <c r="H154" s="311"/>
      <c r="I154" s="312"/>
      <c r="J154" s="310" t="s">
        <v>298</v>
      </c>
      <c r="K154" s="311"/>
      <c r="L154" s="311"/>
      <c r="M154" s="311"/>
      <c r="N154" s="311"/>
      <c r="O154" s="311"/>
      <c r="P154" s="311"/>
      <c r="Q154" s="311"/>
      <c r="R154" s="312"/>
    </row>
    <row r="155" spans="1:18" ht="17.100000000000001" customHeight="1" x14ac:dyDescent="0.2">
      <c r="A155" s="313" t="str">
        <f>ขร1!J243</f>
        <v>โรงพยาบาลสามโคก  ประจำเดือน  พฤศจิกายน  2568</v>
      </c>
      <c r="B155" s="314"/>
      <c r="C155" s="314"/>
      <c r="D155" s="314"/>
      <c r="E155" s="314"/>
      <c r="F155" s="314"/>
      <c r="G155" s="314"/>
      <c r="H155" s="314"/>
      <c r="I155" s="315"/>
      <c r="J155" s="313" t="str">
        <f>ขร2!J111</f>
        <v>โรงพยาบาลสามโคก  ประจำเดือน  พฤศจิกายน  2568</v>
      </c>
      <c r="K155" s="314"/>
      <c r="L155" s="314"/>
      <c r="M155" s="314"/>
      <c r="N155" s="314"/>
      <c r="O155" s="314"/>
      <c r="P155" s="314"/>
      <c r="Q155" s="314"/>
      <c r="R155" s="315"/>
    </row>
    <row r="156" spans="1:18" ht="17.100000000000001" customHeight="1" x14ac:dyDescent="0.2">
      <c r="A156" s="308" t="s">
        <v>542</v>
      </c>
      <c r="B156" s="307"/>
      <c r="C156" s="307"/>
      <c r="D156" s="307"/>
      <c r="E156" s="307"/>
      <c r="F156" s="307"/>
      <c r="G156" s="307"/>
      <c r="H156" s="307"/>
      <c r="I156" s="309"/>
      <c r="J156" s="308" t="s">
        <v>327</v>
      </c>
      <c r="K156" s="307"/>
      <c r="L156" s="307"/>
      <c r="M156" s="307"/>
      <c r="N156" s="307"/>
      <c r="O156" s="307"/>
      <c r="P156" s="307"/>
      <c r="Q156" s="307"/>
      <c r="R156" s="309"/>
    </row>
    <row r="157" spans="1:18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  <c r="J157" s="149"/>
      <c r="K157" s="153"/>
      <c r="L157" s="150"/>
      <c r="M157" s="147"/>
      <c r="N157" s="147"/>
      <c r="O157" s="147"/>
      <c r="P157" s="150"/>
      <c r="Q157" s="150"/>
      <c r="R157" s="163"/>
    </row>
    <row r="158" spans="1:18" ht="17.100000000000001" customHeight="1" x14ac:dyDescent="0.2">
      <c r="A158" s="149"/>
      <c r="B158" s="307" t="s">
        <v>9</v>
      </c>
      <c r="C158" s="307"/>
      <c r="D158" s="307"/>
      <c r="E158" s="147"/>
      <c r="F158" s="147"/>
      <c r="G158" s="307" t="s">
        <v>10</v>
      </c>
      <c r="H158" s="307"/>
      <c r="I158" s="152"/>
      <c r="J158" s="149"/>
      <c r="K158" s="307" t="s">
        <v>9</v>
      </c>
      <c r="L158" s="307"/>
      <c r="M158" s="307"/>
      <c r="N158" s="147"/>
      <c r="O158" s="147"/>
      <c r="P158" s="307" t="s">
        <v>10</v>
      </c>
      <c r="Q158" s="307"/>
      <c r="R158" s="148"/>
    </row>
    <row r="159" spans="1:18" ht="17.100000000000001" customHeight="1" x14ac:dyDescent="0.2">
      <c r="A159" s="149"/>
      <c r="B159" s="306" t="s">
        <v>3</v>
      </c>
      <c r="C159" s="306"/>
      <c r="D159" s="154">
        <v>0</v>
      </c>
      <c r="E159" s="154"/>
      <c r="F159" s="155"/>
      <c r="G159" s="150" t="s">
        <v>99</v>
      </c>
      <c r="H159" s="154">
        <v>0</v>
      </c>
      <c r="I159" s="152"/>
      <c r="J159" s="149"/>
      <c r="K159" s="306" t="s">
        <v>3</v>
      </c>
      <c r="L159" s="306"/>
      <c r="M159" s="154">
        <v>0</v>
      </c>
      <c r="N159" s="154"/>
      <c r="O159" s="155"/>
      <c r="P159" s="150" t="s">
        <v>99</v>
      </c>
      <c r="Q159" s="154">
        <f>ข้าราชการ!N186</f>
        <v>0</v>
      </c>
      <c r="R159" s="164"/>
    </row>
    <row r="160" spans="1:18" ht="17.100000000000001" customHeight="1" x14ac:dyDescent="0.2">
      <c r="A160" s="149"/>
      <c r="B160" s="306" t="s">
        <v>106</v>
      </c>
      <c r="C160" s="306"/>
      <c r="D160" s="154">
        <v>0</v>
      </c>
      <c r="E160" s="154"/>
      <c r="F160" s="155"/>
      <c r="G160" s="150" t="s">
        <v>53</v>
      </c>
      <c r="H160" s="154">
        <v>0</v>
      </c>
      <c r="I160" s="152"/>
      <c r="J160" s="149"/>
      <c r="K160" s="306" t="s">
        <v>106</v>
      </c>
      <c r="L160" s="306"/>
      <c r="M160" s="154">
        <f>ข้าราชการ!F94</f>
        <v>0</v>
      </c>
      <c r="N160" s="154"/>
      <c r="O160" s="155"/>
      <c r="P160" s="150" t="s">
        <v>53</v>
      </c>
      <c r="Q160" s="154">
        <f>ข้าราชการ!O186</f>
        <v>0</v>
      </c>
      <c r="R160" s="164"/>
    </row>
    <row r="161" spans="1:18" ht="17.100000000000001" customHeight="1" x14ac:dyDescent="0.2">
      <c r="A161" s="149"/>
      <c r="B161" s="306" t="s">
        <v>107</v>
      </c>
      <c r="C161" s="306"/>
      <c r="D161" s="154">
        <v>0</v>
      </c>
      <c r="E161" s="154"/>
      <c r="F161" s="155"/>
      <c r="G161" s="150" t="s">
        <v>54</v>
      </c>
      <c r="H161" s="154">
        <v>0</v>
      </c>
      <c r="I161" s="152"/>
      <c r="J161" s="149"/>
      <c r="K161" s="306" t="s">
        <v>107</v>
      </c>
      <c r="L161" s="306"/>
      <c r="M161" s="154">
        <f>ข้าราชการ!G186</f>
        <v>0</v>
      </c>
      <c r="N161" s="154"/>
      <c r="O161" s="155"/>
      <c r="P161" s="150" t="s">
        <v>54</v>
      </c>
      <c r="Q161" s="154">
        <f>ข้าราชการ!P186</f>
        <v>0</v>
      </c>
      <c r="R161" s="164"/>
    </row>
    <row r="162" spans="1:18" ht="17.100000000000001" customHeight="1" x14ac:dyDescent="0.2">
      <c r="A162" s="149"/>
      <c r="B162" s="306" t="s">
        <v>105</v>
      </c>
      <c r="C162" s="306"/>
      <c r="D162" s="154">
        <f>ข้าราชการ!H41</f>
        <v>0</v>
      </c>
      <c r="E162" s="154"/>
      <c r="F162" s="155"/>
      <c r="G162" s="150" t="s">
        <v>100</v>
      </c>
      <c r="H162" s="154">
        <v>0</v>
      </c>
      <c r="I162" s="152"/>
      <c r="J162" s="149"/>
      <c r="K162" s="306" t="s">
        <v>130</v>
      </c>
      <c r="L162" s="306"/>
      <c r="M162" s="154">
        <f>ข้าราชการ!H54</f>
        <v>0</v>
      </c>
      <c r="N162" s="154"/>
      <c r="O162" s="155"/>
      <c r="P162" s="150" t="s">
        <v>100</v>
      </c>
      <c r="Q162" s="154">
        <v>0</v>
      </c>
      <c r="R162" s="164"/>
    </row>
    <row r="163" spans="1:18" ht="17.100000000000001" customHeight="1" x14ac:dyDescent="0.2">
      <c r="A163" s="149"/>
      <c r="B163" s="306" t="s">
        <v>291</v>
      </c>
      <c r="C163" s="306"/>
      <c r="D163" s="154">
        <f>ข้าราชการ!I41</f>
        <v>0</v>
      </c>
      <c r="E163" s="154"/>
      <c r="F163" s="155"/>
      <c r="G163" s="150" t="s">
        <v>55</v>
      </c>
      <c r="H163" s="156">
        <f>ข้าราชการ!R41</f>
        <v>0</v>
      </c>
      <c r="I163" s="152"/>
      <c r="J163" s="149"/>
      <c r="K163" s="306" t="s">
        <v>291</v>
      </c>
      <c r="L163" s="306"/>
      <c r="M163" s="154">
        <f>ข้าราชการ!I54</f>
        <v>0</v>
      </c>
      <c r="N163" s="154"/>
      <c r="O163" s="155"/>
      <c r="P163" s="150" t="s">
        <v>55</v>
      </c>
      <c r="Q163" s="156">
        <f>ข้าราชการ!R186</f>
        <v>0</v>
      </c>
      <c r="R163" s="165"/>
    </row>
    <row r="164" spans="1:18" ht="17.100000000000001" customHeight="1" x14ac:dyDescent="0.2">
      <c r="A164" s="149"/>
      <c r="B164" s="306" t="s">
        <v>662</v>
      </c>
      <c r="C164" s="306"/>
      <c r="D164" s="154">
        <f>ข้าราชการ!J41</f>
        <v>0</v>
      </c>
      <c r="E164" s="154"/>
      <c r="F164" s="155"/>
      <c r="G164" s="153" t="s">
        <v>137</v>
      </c>
      <c r="H164" s="156">
        <f>ข้าราชการ!S41</f>
        <v>0</v>
      </c>
      <c r="I164" s="152"/>
      <c r="J164" s="149"/>
      <c r="K164" s="306" t="s">
        <v>120</v>
      </c>
      <c r="L164" s="306"/>
      <c r="M164" s="154">
        <f>ข้าราชการ!J54</f>
        <v>0</v>
      </c>
      <c r="N164" s="154"/>
      <c r="O164" s="155"/>
      <c r="P164" s="153" t="s">
        <v>137</v>
      </c>
      <c r="Q164" s="156">
        <f>ข้าราชการ!S53</f>
        <v>0</v>
      </c>
      <c r="R164" s="165"/>
    </row>
    <row r="165" spans="1:18" ht="17.100000000000001" customHeight="1" x14ac:dyDescent="0.2">
      <c r="A165" s="149"/>
      <c r="B165" s="306" t="s">
        <v>5</v>
      </c>
      <c r="C165" s="306"/>
      <c r="D165" s="154">
        <f>ข้าราชการ!K39</f>
        <v>0</v>
      </c>
      <c r="E165" s="154"/>
      <c r="F165" s="155"/>
      <c r="G165" s="150" t="s">
        <v>56</v>
      </c>
      <c r="H165" s="156">
        <f>ข้าราชการ!T41</f>
        <v>0</v>
      </c>
      <c r="I165" s="152"/>
      <c r="J165" s="149"/>
      <c r="K165" s="306" t="s">
        <v>5</v>
      </c>
      <c r="L165" s="306"/>
      <c r="M165" s="154">
        <f>ข้าราชการ!K53</f>
        <v>0</v>
      </c>
      <c r="N165" s="154"/>
      <c r="O165" s="155"/>
      <c r="P165" s="150" t="s">
        <v>56</v>
      </c>
      <c r="Q165" s="156">
        <v>0</v>
      </c>
      <c r="R165" s="165"/>
    </row>
    <row r="166" spans="1:18" ht="17.100000000000001" customHeight="1" x14ac:dyDescent="0.2">
      <c r="A166" s="149"/>
      <c r="B166" s="150" t="s">
        <v>6</v>
      </c>
      <c r="C166" s="150"/>
      <c r="D166" s="154">
        <f>ข้าราชการ!L39</f>
        <v>0</v>
      </c>
      <c r="E166" s="154"/>
      <c r="F166" s="155"/>
      <c r="G166" s="150" t="s">
        <v>57</v>
      </c>
      <c r="H166" s="156">
        <f>ข้าราชการ!U41</f>
        <v>0</v>
      </c>
      <c r="I166" s="152"/>
      <c r="J166" s="149"/>
      <c r="K166" s="150" t="s">
        <v>6</v>
      </c>
      <c r="L166" s="150"/>
      <c r="M166" s="154">
        <f>ข้าราชการ!L94</f>
        <v>0</v>
      </c>
      <c r="N166" s="154"/>
      <c r="O166" s="155"/>
      <c r="P166" s="150" t="s">
        <v>57</v>
      </c>
      <c r="Q166" s="156">
        <v>0</v>
      </c>
      <c r="R166" s="165"/>
    </row>
    <row r="167" spans="1:18" ht="17.100000000000001" customHeight="1" x14ac:dyDescent="0.2">
      <c r="A167" s="149"/>
      <c r="B167" s="306" t="s">
        <v>7</v>
      </c>
      <c r="C167" s="306"/>
      <c r="D167" s="154">
        <v>0</v>
      </c>
      <c r="E167" s="154"/>
      <c r="F167" s="155"/>
      <c r="G167" s="150"/>
      <c r="H167" s="154"/>
      <c r="I167" s="152"/>
      <c r="J167" s="149"/>
      <c r="K167" s="306" t="s">
        <v>7</v>
      </c>
      <c r="L167" s="306"/>
      <c r="M167" s="154">
        <f>ข้าราชการ!M53</f>
        <v>0</v>
      </c>
      <c r="N167" s="154"/>
      <c r="O167" s="155"/>
      <c r="P167" s="150"/>
      <c r="Q167" s="154"/>
      <c r="R167" s="164"/>
    </row>
    <row r="168" spans="1:18" ht="17.100000000000001" customHeight="1" x14ac:dyDescent="0.2">
      <c r="A168" s="149"/>
      <c r="B168" s="307" t="s">
        <v>101</v>
      </c>
      <c r="C168" s="307"/>
      <c r="D168" s="157">
        <f>SUM(D159:D167)</f>
        <v>0</v>
      </c>
      <c r="E168" s="157"/>
      <c r="F168" s="157"/>
      <c r="G168" s="147" t="s">
        <v>102</v>
      </c>
      <c r="H168" s="157">
        <f>SUM(H159:H167)</f>
        <v>0</v>
      </c>
      <c r="I168" s="152"/>
      <c r="J168" s="149"/>
      <c r="K168" s="307" t="s">
        <v>101</v>
      </c>
      <c r="L168" s="307"/>
      <c r="M168" s="157">
        <f>SUM(M159:M167)</f>
        <v>0</v>
      </c>
      <c r="N168" s="157"/>
      <c r="O168" s="157"/>
      <c r="P168" s="147" t="s">
        <v>102</v>
      </c>
      <c r="Q168" s="157">
        <f>SUM(Q159:Q167)</f>
        <v>0</v>
      </c>
      <c r="R168" s="166"/>
    </row>
    <row r="169" spans="1:18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  <c r="J169" s="149"/>
      <c r="K169" s="150"/>
      <c r="L169" s="147" t="s">
        <v>103</v>
      </c>
      <c r="M169" s="157">
        <f>M168-Q168</f>
        <v>0</v>
      </c>
      <c r="N169" s="157"/>
      <c r="O169" s="158" t="s">
        <v>104</v>
      </c>
      <c r="Q169" s="150"/>
      <c r="R169" s="163"/>
    </row>
    <row r="170" spans="1:18" ht="17.100000000000001" customHeight="1" x14ac:dyDescent="0.2">
      <c r="A170" s="149"/>
      <c r="B170" s="150"/>
      <c r="C170" s="307" t="str">
        <f>"("&amp;BAHTTEXT(D169)&amp;")"</f>
        <v>(ศูนย์บาทถ้วน)</v>
      </c>
      <c r="D170" s="307"/>
      <c r="E170" s="307"/>
      <c r="F170" s="307"/>
      <c r="G170" s="307"/>
      <c r="H170" s="150"/>
      <c r="I170" s="163"/>
      <c r="J170" s="149"/>
      <c r="K170" s="150"/>
      <c r="L170" s="307" t="str">
        <f>"("&amp;BAHTTEXT(M169)&amp;")"</f>
        <v>(ศูนย์บาทถ้วน)</v>
      </c>
      <c r="M170" s="307"/>
      <c r="N170" s="307"/>
      <c r="O170" s="307"/>
      <c r="P170" s="307"/>
      <c r="Q170" s="150"/>
      <c r="R170" s="163"/>
    </row>
    <row r="171" spans="1:18" ht="17.100000000000001" customHeight="1" x14ac:dyDescent="0.2">
      <c r="A171" s="149"/>
      <c r="B171" s="150"/>
      <c r="C171" s="147"/>
      <c r="D171" s="147"/>
      <c r="E171" s="147"/>
      <c r="F171" s="147"/>
      <c r="G171" s="147"/>
      <c r="H171" s="150"/>
      <c r="I171" s="163"/>
      <c r="J171" s="149"/>
      <c r="K171" s="150"/>
      <c r="L171" s="147"/>
      <c r="M171" s="147"/>
      <c r="N171" s="147"/>
      <c r="O171" s="147"/>
      <c r="P171" s="147"/>
      <c r="Q171" s="150"/>
      <c r="R171" s="163"/>
    </row>
    <row r="172" spans="1:18" ht="17.100000000000001" customHeight="1" x14ac:dyDescent="0.2">
      <c r="A172" s="149"/>
      <c r="B172" s="150"/>
      <c r="C172" s="150"/>
      <c r="D172" s="150"/>
      <c r="E172" s="150"/>
      <c r="F172" s="150"/>
      <c r="G172" s="150"/>
      <c r="H172" s="150"/>
      <c r="I172" s="152"/>
      <c r="J172" s="149"/>
      <c r="K172" s="150"/>
      <c r="L172" s="150"/>
      <c r="M172" s="150"/>
      <c r="N172" s="150"/>
      <c r="O172" s="150"/>
      <c r="P172" s="150"/>
      <c r="Q172" s="150"/>
      <c r="R172" s="163"/>
    </row>
    <row r="173" spans="1:18" ht="17.100000000000001" customHeight="1" x14ac:dyDescent="0.2">
      <c r="A173" s="149"/>
      <c r="I173" s="152"/>
      <c r="J173" s="149"/>
      <c r="R173" s="152"/>
    </row>
    <row r="174" spans="1:18" ht="17.100000000000001" customHeight="1" x14ac:dyDescent="0.2">
      <c r="A174" s="149"/>
      <c r="I174" s="152"/>
      <c r="J174" s="149"/>
      <c r="R174" s="148"/>
    </row>
    <row r="175" spans="1:18" ht="17.100000000000001" customHeight="1" x14ac:dyDescent="0.2">
      <c r="A175" s="308" t="s">
        <v>315</v>
      </c>
      <c r="B175" s="307"/>
      <c r="C175" s="307"/>
      <c r="D175" s="307"/>
      <c r="E175" s="307"/>
      <c r="F175" s="307"/>
      <c r="G175" s="307"/>
      <c r="H175" s="307"/>
      <c r="I175" s="309"/>
      <c r="J175" s="149"/>
      <c r="K175" s="307" t="s">
        <v>315</v>
      </c>
      <c r="L175" s="307"/>
      <c r="M175" s="307"/>
      <c r="N175" s="307"/>
      <c r="O175" s="307"/>
      <c r="P175" s="307"/>
      <c r="Q175" s="307"/>
      <c r="R175" s="148"/>
    </row>
    <row r="176" spans="1:18" ht="17.100000000000001" customHeight="1" x14ac:dyDescent="0.2">
      <c r="A176" s="310" t="s">
        <v>298</v>
      </c>
      <c r="B176" s="311"/>
      <c r="C176" s="311"/>
      <c r="D176" s="311"/>
      <c r="E176" s="311"/>
      <c r="F176" s="311"/>
      <c r="G176" s="311"/>
      <c r="H176" s="311"/>
      <c r="I176" s="312"/>
      <c r="J176" s="159"/>
      <c r="K176" s="311" t="s">
        <v>298</v>
      </c>
      <c r="L176" s="311"/>
      <c r="M176" s="311"/>
      <c r="N176" s="311"/>
      <c r="O176" s="311"/>
      <c r="P176" s="311"/>
      <c r="Q176" s="311"/>
      <c r="R176" s="160"/>
    </row>
    <row r="177" spans="1:18" ht="17.100000000000001" customHeight="1" x14ac:dyDescent="0.2">
      <c r="A177" s="313" t="str">
        <f>ขร1!J243</f>
        <v>โรงพยาบาลสามโคก  ประจำเดือน  พฤศจิกายน  2568</v>
      </c>
      <c r="B177" s="314"/>
      <c r="C177" s="314"/>
      <c r="D177" s="314"/>
      <c r="E177" s="314"/>
      <c r="F177" s="314"/>
      <c r="G177" s="314"/>
      <c r="H177" s="314"/>
      <c r="I177" s="315"/>
      <c r="J177" s="313" t="str">
        <f>ขร2!J111</f>
        <v>โรงพยาบาลสามโคก  ประจำเดือน  พฤศจิกายน  2568</v>
      </c>
      <c r="K177" s="314"/>
      <c r="L177" s="314"/>
      <c r="M177" s="314"/>
      <c r="N177" s="314"/>
      <c r="O177" s="314"/>
      <c r="P177" s="314"/>
      <c r="Q177" s="314"/>
      <c r="R177" s="315"/>
    </row>
    <row r="178" spans="1:18" ht="17.100000000000001" customHeight="1" x14ac:dyDescent="0.2">
      <c r="A178" s="308" t="s">
        <v>293</v>
      </c>
      <c r="B178" s="307"/>
      <c r="C178" s="307"/>
      <c r="D178" s="307"/>
      <c r="E178" s="307"/>
      <c r="F178" s="307"/>
      <c r="G178" s="307"/>
      <c r="H178" s="307"/>
      <c r="J178" s="308" t="s">
        <v>331</v>
      </c>
      <c r="K178" s="307"/>
      <c r="L178" s="307"/>
      <c r="M178" s="307"/>
      <c r="N178" s="307"/>
      <c r="O178" s="307"/>
      <c r="P178" s="307"/>
      <c r="Q178" s="307"/>
      <c r="R178" s="309"/>
    </row>
    <row r="179" spans="1:18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  <c r="J179" s="149"/>
      <c r="K179" s="153"/>
      <c r="L179" s="150"/>
      <c r="M179" s="147"/>
      <c r="N179" s="147"/>
      <c r="O179" s="147"/>
      <c r="P179" s="150"/>
      <c r="Q179" s="150"/>
      <c r="R179" s="163"/>
    </row>
    <row r="180" spans="1:18" ht="17.100000000000001" customHeight="1" x14ac:dyDescent="0.2">
      <c r="A180" s="149"/>
      <c r="B180" s="307" t="s">
        <v>9</v>
      </c>
      <c r="C180" s="307"/>
      <c r="D180" s="307"/>
      <c r="E180" s="147"/>
      <c r="F180" s="147"/>
      <c r="G180" s="307" t="s">
        <v>10</v>
      </c>
      <c r="H180" s="307"/>
      <c r="I180" s="152"/>
      <c r="J180" s="149"/>
      <c r="K180" s="307" t="s">
        <v>9</v>
      </c>
      <c r="L180" s="307"/>
      <c r="M180" s="307"/>
      <c r="N180" s="147"/>
      <c r="O180" s="147"/>
      <c r="P180" s="307" t="s">
        <v>10</v>
      </c>
      <c r="Q180" s="307"/>
      <c r="R180" s="148"/>
    </row>
    <row r="181" spans="1:18" ht="17.100000000000001" customHeight="1" x14ac:dyDescent="0.2">
      <c r="A181" s="149"/>
      <c r="B181" s="306" t="s">
        <v>3</v>
      </c>
      <c r="C181" s="306"/>
      <c r="D181" s="154">
        <v>0</v>
      </c>
      <c r="E181" s="154"/>
      <c r="F181" s="155"/>
      <c r="G181" s="150" t="s">
        <v>99</v>
      </c>
      <c r="H181" s="154">
        <v>0</v>
      </c>
      <c r="I181" s="152"/>
      <c r="J181" s="149"/>
      <c r="K181" s="306" t="s">
        <v>3</v>
      </c>
      <c r="L181" s="306"/>
      <c r="M181" s="154">
        <v>0</v>
      </c>
      <c r="N181" s="154"/>
      <c r="O181" s="155"/>
      <c r="P181" s="150" t="s">
        <v>99</v>
      </c>
      <c r="Q181" s="154">
        <f>ข้าราชการ!N163</f>
        <v>0</v>
      </c>
      <c r="R181" s="164"/>
    </row>
    <row r="182" spans="1:18" ht="17.100000000000001" customHeight="1" x14ac:dyDescent="0.2">
      <c r="A182" s="149"/>
      <c r="B182" s="306" t="s">
        <v>106</v>
      </c>
      <c r="C182" s="306"/>
      <c r="D182" s="154">
        <v>0</v>
      </c>
      <c r="E182" s="154"/>
      <c r="F182" s="155"/>
      <c r="G182" s="150" t="s">
        <v>53</v>
      </c>
      <c r="H182" s="154">
        <v>0</v>
      </c>
      <c r="I182" s="152"/>
      <c r="J182" s="149"/>
      <c r="K182" s="306" t="s">
        <v>106</v>
      </c>
      <c r="L182" s="306"/>
      <c r="M182" s="154">
        <v>0</v>
      </c>
      <c r="N182" s="154"/>
      <c r="O182" s="155"/>
      <c r="P182" s="150" t="s">
        <v>53</v>
      </c>
      <c r="Q182" s="154">
        <f>ข้าราชการ!O163</f>
        <v>0</v>
      </c>
      <c r="R182" s="164"/>
    </row>
    <row r="183" spans="1:18" ht="17.100000000000001" customHeight="1" x14ac:dyDescent="0.2">
      <c r="A183" s="149"/>
      <c r="B183" s="306" t="s">
        <v>107</v>
      </c>
      <c r="C183" s="306"/>
      <c r="D183" s="154">
        <v>0</v>
      </c>
      <c r="E183" s="154"/>
      <c r="F183" s="155"/>
      <c r="G183" s="150" t="s">
        <v>54</v>
      </c>
      <c r="H183" s="154">
        <v>0</v>
      </c>
      <c r="I183" s="152"/>
      <c r="J183" s="149"/>
      <c r="K183" s="306" t="s">
        <v>107</v>
      </c>
      <c r="L183" s="306"/>
      <c r="M183" s="154">
        <f>ข้าราชการ!G163</f>
        <v>0</v>
      </c>
      <c r="N183" s="154"/>
      <c r="O183" s="155"/>
      <c r="P183" s="150" t="s">
        <v>54</v>
      </c>
      <c r="Q183" s="154">
        <f>ข้าราชการ!P163</f>
        <v>0</v>
      </c>
      <c r="R183" s="164"/>
    </row>
    <row r="184" spans="1:18" ht="17.100000000000001" customHeight="1" x14ac:dyDescent="0.2">
      <c r="A184" s="149"/>
      <c r="B184" s="306" t="s">
        <v>105</v>
      </c>
      <c r="C184" s="306"/>
      <c r="D184" s="154">
        <f>ข้าราชการ!H42</f>
        <v>0</v>
      </c>
      <c r="E184" s="154"/>
      <c r="F184" s="155"/>
      <c r="G184" s="150" t="s">
        <v>100</v>
      </c>
      <c r="H184" s="154">
        <v>0</v>
      </c>
      <c r="I184" s="152"/>
      <c r="J184" s="149"/>
      <c r="K184" s="306" t="s">
        <v>105</v>
      </c>
      <c r="L184" s="306"/>
      <c r="M184" s="154">
        <f>ข้าราชการ!H55</f>
        <v>0</v>
      </c>
      <c r="N184" s="154"/>
      <c r="O184" s="155"/>
      <c r="P184" s="150" t="s">
        <v>100</v>
      </c>
      <c r="Q184" s="154">
        <f>ข้าราชการ!Q55</f>
        <v>0</v>
      </c>
      <c r="R184" s="164"/>
    </row>
    <row r="185" spans="1:18" ht="17.100000000000001" customHeight="1" x14ac:dyDescent="0.2">
      <c r="A185" s="149"/>
      <c r="B185" s="306" t="s">
        <v>291</v>
      </c>
      <c r="C185" s="306"/>
      <c r="D185" s="154">
        <f>ข้าราชการ!I42</f>
        <v>0</v>
      </c>
      <c r="E185" s="154"/>
      <c r="F185" s="155"/>
      <c r="G185" s="150" t="s">
        <v>55</v>
      </c>
      <c r="H185" s="156">
        <v>0</v>
      </c>
      <c r="I185" s="152"/>
      <c r="J185" s="149"/>
      <c r="K185" s="306" t="s">
        <v>291</v>
      </c>
      <c r="L185" s="306"/>
      <c r="M185" s="154">
        <f>ข้าราชการ!I55</f>
        <v>0</v>
      </c>
      <c r="N185" s="154"/>
      <c r="O185" s="155"/>
      <c r="P185" s="150" t="s">
        <v>55</v>
      </c>
      <c r="Q185" s="156">
        <f>ข้าราชการ!R55</f>
        <v>0</v>
      </c>
      <c r="R185" s="165"/>
    </row>
    <row r="186" spans="1:18" ht="17.100000000000001" customHeight="1" x14ac:dyDescent="0.2">
      <c r="A186" s="149"/>
      <c r="B186" s="306" t="s">
        <v>662</v>
      </c>
      <c r="C186" s="306"/>
      <c r="D186" s="154">
        <f>ข้าราชการ!J42</f>
        <v>0</v>
      </c>
      <c r="E186" s="154"/>
      <c r="F186" s="155"/>
      <c r="G186" s="153" t="s">
        <v>137</v>
      </c>
      <c r="H186" s="156">
        <f>ข้าราชการ!S42</f>
        <v>0</v>
      </c>
      <c r="I186" s="152"/>
      <c r="J186" s="149"/>
      <c r="K186" s="306" t="s">
        <v>662</v>
      </c>
      <c r="L186" s="306"/>
      <c r="M186" s="154">
        <f>ข้าราชการ!J55</f>
        <v>0</v>
      </c>
      <c r="N186" s="154"/>
      <c r="O186" s="155"/>
      <c r="P186" s="153" t="s">
        <v>137</v>
      </c>
      <c r="Q186" s="156">
        <v>0</v>
      </c>
      <c r="R186" s="165"/>
    </row>
    <row r="187" spans="1:18" ht="17.100000000000001" customHeight="1" x14ac:dyDescent="0.2">
      <c r="A187" s="149"/>
      <c r="B187" s="306" t="s">
        <v>5</v>
      </c>
      <c r="C187" s="306"/>
      <c r="D187" s="154">
        <f>ข้าราชการ!K40</f>
        <v>0</v>
      </c>
      <c r="E187" s="154"/>
      <c r="F187" s="155"/>
      <c r="G187" s="150" t="s">
        <v>56</v>
      </c>
      <c r="H187" s="156">
        <f>ข้าราชการ!T42</f>
        <v>0</v>
      </c>
      <c r="I187" s="152"/>
      <c r="J187" s="149"/>
      <c r="K187" s="306" t="s">
        <v>5</v>
      </c>
      <c r="L187" s="306"/>
      <c r="M187" s="154">
        <v>0</v>
      </c>
      <c r="N187" s="154"/>
      <c r="O187" s="155"/>
      <c r="P187" s="150" t="s">
        <v>56</v>
      </c>
      <c r="Q187" s="156">
        <v>0</v>
      </c>
      <c r="R187" s="165"/>
    </row>
    <row r="188" spans="1:18" ht="17.100000000000001" customHeight="1" x14ac:dyDescent="0.2">
      <c r="A188" s="149"/>
      <c r="B188" s="150" t="s">
        <v>6</v>
      </c>
      <c r="C188" s="150"/>
      <c r="D188" s="154">
        <v>0</v>
      </c>
      <c r="E188" s="154"/>
      <c r="F188" s="155"/>
      <c r="G188" s="150" t="s">
        <v>57</v>
      </c>
      <c r="H188" s="156">
        <f>ข้าราชการ!U42</f>
        <v>0</v>
      </c>
      <c r="I188" s="152"/>
      <c r="J188" s="149"/>
      <c r="K188" s="150" t="s">
        <v>6</v>
      </c>
      <c r="L188" s="150"/>
      <c r="M188" s="154">
        <v>0</v>
      </c>
      <c r="N188" s="154"/>
      <c r="O188" s="155"/>
      <c r="P188" s="150" t="s">
        <v>57</v>
      </c>
      <c r="Q188" s="156">
        <v>0</v>
      </c>
      <c r="R188" s="165"/>
    </row>
    <row r="189" spans="1:18" ht="17.100000000000001" customHeight="1" x14ac:dyDescent="0.2">
      <c r="A189" s="149"/>
      <c r="B189" s="306" t="s">
        <v>7</v>
      </c>
      <c r="C189" s="306"/>
      <c r="D189" s="154">
        <v>0</v>
      </c>
      <c r="E189" s="154"/>
      <c r="F189" s="155"/>
      <c r="G189" s="150"/>
      <c r="H189" s="154"/>
      <c r="I189" s="152"/>
      <c r="J189" s="149"/>
      <c r="K189" s="306" t="s">
        <v>7</v>
      </c>
      <c r="L189" s="306"/>
      <c r="M189" s="154">
        <v>0</v>
      </c>
      <c r="N189" s="154"/>
      <c r="O189" s="155"/>
      <c r="P189" s="150"/>
      <c r="Q189" s="154"/>
      <c r="R189" s="164"/>
    </row>
    <row r="190" spans="1:18" ht="17.100000000000001" customHeight="1" x14ac:dyDescent="0.2">
      <c r="A190" s="149"/>
      <c r="B190" s="307" t="s">
        <v>101</v>
      </c>
      <c r="C190" s="307"/>
      <c r="D190" s="154">
        <f>SUM(D181:D189)</f>
        <v>0</v>
      </c>
      <c r="E190" s="154"/>
      <c r="F190" s="157"/>
      <c r="G190" s="147" t="s">
        <v>102</v>
      </c>
      <c r="H190" s="157">
        <f>SUM(H181:H189)</f>
        <v>0</v>
      </c>
      <c r="I190" s="152"/>
      <c r="J190" s="149"/>
      <c r="K190" s="307" t="s">
        <v>101</v>
      </c>
      <c r="L190" s="307"/>
      <c r="M190" s="157">
        <f>SUM(M181:M189)</f>
        <v>0</v>
      </c>
      <c r="N190" s="157"/>
      <c r="O190" s="157"/>
      <c r="P190" s="147" t="s">
        <v>102</v>
      </c>
      <c r="Q190" s="157">
        <f>SUM(Q181:Q189)</f>
        <v>0</v>
      </c>
      <c r="R190" s="166"/>
    </row>
    <row r="191" spans="1:18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  <c r="J191" s="149"/>
      <c r="K191" s="150"/>
      <c r="L191" s="147" t="s">
        <v>103</v>
      </c>
      <c r="M191" s="157">
        <f>M190-Q190</f>
        <v>0</v>
      </c>
      <c r="N191" s="157"/>
      <c r="O191" s="158" t="s">
        <v>104</v>
      </c>
      <c r="Q191" s="150"/>
      <c r="R191" s="163"/>
    </row>
    <row r="192" spans="1:18" ht="17.100000000000001" customHeight="1" x14ac:dyDescent="0.2">
      <c r="A192" s="149"/>
      <c r="B192" s="150"/>
      <c r="C192" s="307" t="str">
        <f>"("&amp;BAHTTEXT(D191)&amp;")"</f>
        <v>(ศูนย์บาทถ้วน)</v>
      </c>
      <c r="D192" s="307"/>
      <c r="E192" s="307"/>
      <c r="F192" s="307"/>
      <c r="G192" s="307"/>
      <c r="H192" s="150"/>
      <c r="I192" s="163"/>
      <c r="J192" s="149"/>
      <c r="K192" s="150"/>
      <c r="L192" s="307" t="str">
        <f>"("&amp;BAHTTEXT(M191)&amp;")"</f>
        <v>(ศูนย์บาทถ้วน)</v>
      </c>
      <c r="M192" s="307"/>
      <c r="N192" s="307"/>
      <c r="O192" s="307"/>
      <c r="P192" s="307"/>
      <c r="Q192" s="150"/>
      <c r="R192" s="163"/>
    </row>
    <row r="193" spans="1:18" ht="17.100000000000001" customHeight="1" x14ac:dyDescent="0.2">
      <c r="A193" s="149"/>
      <c r="B193" s="150"/>
      <c r="C193" s="147"/>
      <c r="D193" s="147"/>
      <c r="E193" s="147"/>
      <c r="F193" s="147"/>
      <c r="G193" s="147"/>
      <c r="H193" s="150"/>
      <c r="I193" s="163"/>
      <c r="J193" s="149"/>
      <c r="K193" s="150"/>
      <c r="L193" s="147"/>
      <c r="M193" s="147"/>
      <c r="N193" s="147"/>
      <c r="O193" s="147"/>
      <c r="P193" s="147"/>
      <c r="Q193" s="150"/>
      <c r="R193" s="163"/>
    </row>
    <row r="194" spans="1:18" ht="17.100000000000001" customHeight="1" x14ac:dyDescent="0.2">
      <c r="A194" s="149"/>
      <c r="B194" s="150"/>
      <c r="C194" s="147"/>
      <c r="D194" s="147"/>
      <c r="E194" s="147"/>
      <c r="F194" s="147"/>
      <c r="G194" s="147"/>
      <c r="H194" s="147"/>
      <c r="I194" s="148"/>
      <c r="J194" s="149"/>
      <c r="K194" s="150"/>
      <c r="L194" s="150"/>
      <c r="M194" s="150"/>
      <c r="N194" s="150"/>
      <c r="O194" s="150"/>
      <c r="P194" s="150"/>
      <c r="Q194" s="150"/>
      <c r="R194" s="163"/>
    </row>
    <row r="195" spans="1:18" ht="17.100000000000001" customHeight="1" x14ac:dyDescent="0.2">
      <c r="A195" s="149"/>
      <c r="B195" s="150"/>
      <c r="C195" s="150"/>
      <c r="D195" s="150"/>
      <c r="E195" s="150"/>
      <c r="F195" s="150"/>
      <c r="G195" s="150"/>
      <c r="H195" s="150"/>
      <c r="I195" s="152"/>
      <c r="J195" s="149"/>
      <c r="R195" s="152"/>
    </row>
    <row r="196" spans="1:18" ht="17.100000000000001" customHeight="1" x14ac:dyDescent="0.2">
      <c r="A196" s="149"/>
      <c r="I196" s="152"/>
      <c r="J196" s="149"/>
      <c r="R196" s="148"/>
    </row>
    <row r="197" spans="1:18" ht="17.100000000000001" customHeight="1" x14ac:dyDescent="0.2">
      <c r="A197" s="308" t="s">
        <v>315</v>
      </c>
      <c r="B197" s="307"/>
      <c r="C197" s="307"/>
      <c r="D197" s="307"/>
      <c r="E197" s="307"/>
      <c r="F197" s="307"/>
      <c r="G197" s="307"/>
      <c r="H197" s="307"/>
      <c r="I197" s="309"/>
      <c r="J197" s="149"/>
      <c r="K197" s="307" t="s">
        <v>315</v>
      </c>
      <c r="L197" s="307"/>
      <c r="M197" s="307"/>
      <c r="N197" s="307"/>
      <c r="O197" s="307"/>
      <c r="P197" s="307"/>
      <c r="Q197" s="307"/>
      <c r="R197" s="148"/>
    </row>
    <row r="198" spans="1:18" ht="17.100000000000001" customHeight="1" x14ac:dyDescent="0.2">
      <c r="A198" s="310" t="s">
        <v>298</v>
      </c>
      <c r="B198" s="311"/>
      <c r="C198" s="311"/>
      <c r="D198" s="311"/>
      <c r="E198" s="311"/>
      <c r="F198" s="311"/>
      <c r="G198" s="311"/>
      <c r="H198" s="311"/>
      <c r="I198" s="312"/>
      <c r="J198" s="161"/>
      <c r="K198" s="311" t="s">
        <v>298</v>
      </c>
      <c r="L198" s="311"/>
      <c r="M198" s="311"/>
      <c r="N198" s="311"/>
      <c r="O198" s="311"/>
      <c r="P198" s="311"/>
      <c r="Q198" s="311"/>
      <c r="R198" s="160"/>
    </row>
    <row r="199" spans="1:18" ht="17.100000000000001" customHeight="1" x14ac:dyDescent="0.2">
      <c r="A199" s="313" t="str">
        <f>ขร1!J243</f>
        <v>โรงพยาบาลสามโคก  ประจำเดือน  พฤศจิกายน  2568</v>
      </c>
      <c r="B199" s="314"/>
      <c r="C199" s="314"/>
      <c r="D199" s="314"/>
      <c r="E199" s="314"/>
      <c r="F199" s="314"/>
      <c r="G199" s="314"/>
      <c r="H199" s="314"/>
      <c r="I199" s="315"/>
      <c r="J199" s="313" t="str">
        <f>ขร2!J111</f>
        <v>โรงพยาบาลสามโคก  ประจำเดือน  พฤศจิกายน  2568</v>
      </c>
      <c r="K199" s="314"/>
      <c r="L199" s="314"/>
      <c r="M199" s="314"/>
      <c r="N199" s="314"/>
      <c r="O199" s="314"/>
      <c r="P199" s="314"/>
      <c r="Q199" s="314"/>
      <c r="R199" s="315"/>
    </row>
    <row r="200" spans="1:18" ht="17.100000000000001" customHeight="1" x14ac:dyDescent="0.2">
      <c r="A200" s="308" t="s">
        <v>252</v>
      </c>
      <c r="B200" s="316"/>
      <c r="C200" s="316"/>
      <c r="D200" s="316"/>
      <c r="E200" s="316"/>
      <c r="F200" s="316"/>
      <c r="G200" s="316"/>
      <c r="H200" s="316"/>
      <c r="I200" s="309"/>
      <c r="J200" s="308" t="s">
        <v>544</v>
      </c>
      <c r="K200" s="307"/>
      <c r="L200" s="307"/>
      <c r="M200" s="307"/>
      <c r="N200" s="307"/>
      <c r="O200" s="307"/>
      <c r="P200" s="307"/>
      <c r="Q200" s="307"/>
      <c r="R200" s="309"/>
    </row>
    <row r="201" spans="1:18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  <c r="J201" s="149"/>
      <c r="K201" s="153"/>
      <c r="L201" s="150"/>
      <c r="M201" s="147"/>
      <c r="N201" s="147"/>
      <c r="O201" s="147"/>
      <c r="P201" s="150"/>
      <c r="Q201" s="150"/>
      <c r="R201" s="163"/>
    </row>
    <row r="202" spans="1:18" ht="17.100000000000001" customHeight="1" x14ac:dyDescent="0.2">
      <c r="A202" s="149"/>
      <c r="B202" s="307" t="s">
        <v>9</v>
      </c>
      <c r="C202" s="307"/>
      <c r="D202" s="307"/>
      <c r="E202" s="147"/>
      <c r="F202" s="147"/>
      <c r="G202" s="307" t="s">
        <v>10</v>
      </c>
      <c r="H202" s="307"/>
      <c r="I202" s="152"/>
      <c r="J202" s="149"/>
      <c r="K202" s="307" t="s">
        <v>9</v>
      </c>
      <c r="L202" s="307"/>
      <c r="M202" s="307"/>
      <c r="N202" s="147"/>
      <c r="O202" s="147"/>
      <c r="P202" s="307" t="s">
        <v>10</v>
      </c>
      <c r="Q202" s="307"/>
      <c r="R202" s="148"/>
    </row>
    <row r="203" spans="1:18" ht="17.100000000000001" customHeight="1" x14ac:dyDescent="0.2">
      <c r="A203" s="149"/>
      <c r="B203" s="306" t="s">
        <v>3</v>
      </c>
      <c r="C203" s="306"/>
      <c r="D203" s="154">
        <f>ข้าราชการ!E41</f>
        <v>0</v>
      </c>
      <c r="E203" s="154"/>
      <c r="F203" s="155"/>
      <c r="G203" s="150" t="s">
        <v>99</v>
      </c>
      <c r="H203" s="154">
        <f>ข้าราชการ!N41</f>
        <v>0</v>
      </c>
      <c r="I203" s="152"/>
      <c r="J203" s="149"/>
      <c r="K203" s="306" t="s">
        <v>3</v>
      </c>
      <c r="L203" s="306"/>
      <c r="M203" s="154">
        <v>0</v>
      </c>
      <c r="N203" s="154"/>
      <c r="O203" s="155"/>
      <c r="P203" s="150" t="s">
        <v>99</v>
      </c>
      <c r="Q203" s="154">
        <v>0</v>
      </c>
      <c r="R203" s="164"/>
    </row>
    <row r="204" spans="1:18" ht="17.100000000000001" customHeight="1" x14ac:dyDescent="0.2">
      <c r="A204" s="149"/>
      <c r="B204" s="306" t="s">
        <v>106</v>
      </c>
      <c r="C204" s="306"/>
      <c r="D204" s="154">
        <f>ข้าราชการ!F41</f>
        <v>0</v>
      </c>
      <c r="E204" s="154"/>
      <c r="F204" s="155"/>
      <c r="G204" s="150" t="s">
        <v>53</v>
      </c>
      <c r="H204" s="154">
        <f>ข้าราชการ!O41</f>
        <v>0</v>
      </c>
      <c r="I204" s="152"/>
      <c r="J204" s="149"/>
      <c r="K204" s="306" t="s">
        <v>106</v>
      </c>
      <c r="L204" s="306"/>
      <c r="M204" s="154">
        <v>0</v>
      </c>
      <c r="N204" s="154"/>
      <c r="O204" s="155"/>
      <c r="P204" s="150" t="s">
        <v>53</v>
      </c>
      <c r="Q204" s="154">
        <v>0</v>
      </c>
      <c r="R204" s="164"/>
    </row>
    <row r="205" spans="1:18" ht="17.100000000000001" customHeight="1" x14ac:dyDescent="0.2">
      <c r="A205" s="149"/>
      <c r="B205" s="306" t="s">
        <v>107</v>
      </c>
      <c r="C205" s="306"/>
      <c r="D205" s="154">
        <f>ข้าราชการ!G41</f>
        <v>0</v>
      </c>
      <c r="E205" s="154"/>
      <c r="F205" s="155"/>
      <c r="G205" s="150" t="s">
        <v>54</v>
      </c>
      <c r="H205" s="154">
        <f>ข้าราชการ!P41</f>
        <v>0</v>
      </c>
      <c r="I205" s="152"/>
      <c r="J205" s="149"/>
      <c r="K205" s="306" t="s">
        <v>107</v>
      </c>
      <c r="L205" s="306"/>
      <c r="M205" s="154">
        <v>0</v>
      </c>
      <c r="N205" s="154"/>
      <c r="O205" s="155"/>
      <c r="P205" s="150" t="s">
        <v>54</v>
      </c>
      <c r="Q205" s="154">
        <v>0</v>
      </c>
      <c r="R205" s="164"/>
    </row>
    <row r="206" spans="1:18" ht="17.100000000000001" customHeight="1" x14ac:dyDescent="0.2">
      <c r="A206" s="149"/>
      <c r="B206" s="306" t="s">
        <v>105</v>
      </c>
      <c r="C206" s="306"/>
      <c r="D206" s="154">
        <f>ข้าราชการ!H45</f>
        <v>0</v>
      </c>
      <c r="E206" s="154"/>
      <c r="F206" s="155"/>
      <c r="G206" s="150" t="s">
        <v>100</v>
      </c>
      <c r="H206" s="154">
        <f>ข้าราชการ!Q41</f>
        <v>0</v>
      </c>
      <c r="I206" s="152"/>
      <c r="J206" s="149"/>
      <c r="K206" s="306" t="s">
        <v>105</v>
      </c>
      <c r="L206" s="306"/>
      <c r="M206" s="154">
        <f>ข้าราชการ!H56</f>
        <v>0</v>
      </c>
      <c r="N206" s="154"/>
      <c r="O206" s="155"/>
      <c r="P206" s="150" t="s">
        <v>100</v>
      </c>
      <c r="Q206" s="154">
        <f>ข้าราชการ!Q56</f>
        <v>0</v>
      </c>
      <c r="R206" s="164"/>
    </row>
    <row r="207" spans="1:18" ht="17.100000000000001" customHeight="1" x14ac:dyDescent="0.2">
      <c r="A207" s="149"/>
      <c r="B207" s="306" t="s">
        <v>291</v>
      </c>
      <c r="C207" s="306"/>
      <c r="D207" s="154">
        <f>ข้าราชการ!I45</f>
        <v>0</v>
      </c>
      <c r="E207" s="154"/>
      <c r="F207" s="155"/>
      <c r="G207" s="150" t="s">
        <v>55</v>
      </c>
      <c r="H207" s="156">
        <f>ข้าราชการ!R45</f>
        <v>0</v>
      </c>
      <c r="I207" s="152"/>
      <c r="J207" s="149"/>
      <c r="K207" s="306" t="s">
        <v>291</v>
      </c>
      <c r="L207" s="306"/>
      <c r="M207" s="154">
        <f>ข้าราชการ!I56</f>
        <v>0</v>
      </c>
      <c r="N207" s="154"/>
      <c r="O207" s="155"/>
      <c r="P207" s="150" t="s">
        <v>55</v>
      </c>
      <c r="Q207" s="156">
        <f>ข้าราชการ!R56</f>
        <v>0</v>
      </c>
      <c r="R207" s="165"/>
    </row>
    <row r="208" spans="1:18" ht="17.100000000000001" customHeight="1" x14ac:dyDescent="0.2">
      <c r="A208" s="149"/>
      <c r="B208" s="306" t="s">
        <v>662</v>
      </c>
      <c r="C208" s="306"/>
      <c r="D208" s="154">
        <f>ข้าราชการ!J45</f>
        <v>0</v>
      </c>
      <c r="E208" s="154"/>
      <c r="F208" s="155"/>
      <c r="G208" s="153" t="s">
        <v>137</v>
      </c>
      <c r="H208" s="156">
        <f>ข้าราชการ!S45</f>
        <v>0</v>
      </c>
      <c r="I208" s="152"/>
      <c r="J208" s="149"/>
      <c r="K208" s="306" t="s">
        <v>120</v>
      </c>
      <c r="L208" s="306"/>
      <c r="M208" s="154">
        <f>ข้าราชการ!J56</f>
        <v>0</v>
      </c>
      <c r="N208" s="154"/>
      <c r="O208" s="155"/>
      <c r="P208" s="153" t="s">
        <v>137</v>
      </c>
      <c r="Q208" s="156">
        <f>ข้าราชการ!S54</f>
        <v>0</v>
      </c>
      <c r="R208" s="165"/>
    </row>
    <row r="209" spans="1:18" ht="17.100000000000001" customHeight="1" x14ac:dyDescent="0.2">
      <c r="A209" s="149"/>
      <c r="B209" s="306" t="s">
        <v>5</v>
      </c>
      <c r="C209" s="306"/>
      <c r="D209" s="154">
        <f>ข้าราชการ!K41</f>
        <v>0</v>
      </c>
      <c r="E209" s="154"/>
      <c r="F209" s="155"/>
      <c r="G209" s="150" t="s">
        <v>56</v>
      </c>
      <c r="H209" s="156">
        <f>ข้าราชการ!T45</f>
        <v>0</v>
      </c>
      <c r="I209" s="152"/>
      <c r="J209" s="149"/>
      <c r="K209" s="306" t="s">
        <v>5</v>
      </c>
      <c r="L209" s="306"/>
      <c r="M209" s="154">
        <f>ข้าราชการ!K54</f>
        <v>0</v>
      </c>
      <c r="N209" s="154"/>
      <c r="O209" s="155"/>
      <c r="P209" s="150" t="s">
        <v>56</v>
      </c>
      <c r="Q209" s="156">
        <f>ข้าราชการ!T54</f>
        <v>0</v>
      </c>
      <c r="R209" s="165"/>
    </row>
    <row r="210" spans="1:18" ht="17.100000000000001" customHeight="1" x14ac:dyDescent="0.2">
      <c r="A210" s="149"/>
      <c r="B210" s="150" t="s">
        <v>6</v>
      </c>
      <c r="C210" s="150"/>
      <c r="D210" s="154">
        <f>ข้าราชการ!L41</f>
        <v>0</v>
      </c>
      <c r="E210" s="154"/>
      <c r="F210" s="155"/>
      <c r="G210" s="150" t="s">
        <v>57</v>
      </c>
      <c r="H210" s="156">
        <f>ข้าราชการ!U45</f>
        <v>0</v>
      </c>
      <c r="I210" s="152"/>
      <c r="J210" s="149"/>
      <c r="K210" s="150" t="s">
        <v>6</v>
      </c>
      <c r="L210" s="150"/>
      <c r="M210" s="154">
        <v>0</v>
      </c>
      <c r="N210" s="154"/>
      <c r="O210" s="155"/>
      <c r="P210" s="150" t="s">
        <v>57</v>
      </c>
      <c r="Q210" s="156">
        <f>ข้าราชการ!U54</f>
        <v>0</v>
      </c>
      <c r="R210" s="165"/>
    </row>
    <row r="211" spans="1:18" ht="17.100000000000001" customHeight="1" x14ac:dyDescent="0.2">
      <c r="A211" s="149"/>
      <c r="B211" s="306" t="s">
        <v>7</v>
      </c>
      <c r="C211" s="306"/>
      <c r="D211" s="154">
        <f>ข้าราชการ!M41</f>
        <v>0</v>
      </c>
      <c r="E211" s="154"/>
      <c r="F211" s="155"/>
      <c r="G211" s="150"/>
      <c r="H211" s="154"/>
      <c r="I211" s="152"/>
      <c r="J211" s="149"/>
      <c r="K211" s="306" t="s">
        <v>7</v>
      </c>
      <c r="L211" s="306"/>
      <c r="M211" s="154">
        <v>0</v>
      </c>
      <c r="N211" s="154"/>
      <c r="O211" s="155"/>
      <c r="P211" s="150"/>
      <c r="Q211" s="154"/>
      <c r="R211" s="164"/>
    </row>
    <row r="212" spans="1:18" ht="17.100000000000001" customHeight="1" x14ac:dyDescent="0.2">
      <c r="A212" s="149"/>
      <c r="B212" s="307" t="s">
        <v>101</v>
      </c>
      <c r="C212" s="307"/>
      <c r="D212" s="157">
        <f>SUM(D203:D211)</f>
        <v>0</v>
      </c>
      <c r="E212" s="157"/>
      <c r="F212" s="157"/>
      <c r="G212" s="147" t="s">
        <v>102</v>
      </c>
      <c r="H212" s="157">
        <f>SUM(H203:H211)</f>
        <v>0</v>
      </c>
      <c r="I212" s="152"/>
      <c r="J212" s="149"/>
      <c r="K212" s="307" t="s">
        <v>101</v>
      </c>
      <c r="L212" s="307"/>
      <c r="M212" s="157">
        <f>SUM(M203:M211)</f>
        <v>0</v>
      </c>
      <c r="N212" s="157"/>
      <c r="O212" s="157"/>
      <c r="P212" s="147" t="s">
        <v>102</v>
      </c>
      <c r="Q212" s="157">
        <f>SUM(Q203:Q211)</f>
        <v>0</v>
      </c>
      <c r="R212" s="166"/>
    </row>
    <row r="213" spans="1:18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  <c r="J213" s="149"/>
      <c r="K213" s="150"/>
      <c r="L213" s="147" t="s">
        <v>103</v>
      </c>
      <c r="M213" s="157">
        <f>M212-Q212</f>
        <v>0</v>
      </c>
      <c r="N213" s="157"/>
      <c r="O213" s="158" t="s">
        <v>104</v>
      </c>
      <c r="Q213" s="150"/>
      <c r="R213" s="163"/>
    </row>
    <row r="214" spans="1:18" ht="17.100000000000001" customHeight="1" x14ac:dyDescent="0.2">
      <c r="A214" s="149"/>
      <c r="B214" s="150"/>
      <c r="C214" s="307" t="str">
        <f>"("&amp;BAHTTEXT(D213)&amp;")"</f>
        <v>(ศูนย์บาทถ้วน)</v>
      </c>
      <c r="D214" s="307"/>
      <c r="E214" s="307"/>
      <c r="F214" s="307"/>
      <c r="G214" s="307"/>
      <c r="H214" s="150"/>
      <c r="I214" s="152"/>
      <c r="J214" s="149"/>
      <c r="K214" s="150"/>
      <c r="L214" s="307" t="str">
        <f>"("&amp;BAHTTEXT(M213)&amp;")"</f>
        <v>(ศูนย์บาทถ้วน)</v>
      </c>
      <c r="M214" s="307"/>
      <c r="N214" s="307"/>
      <c r="O214" s="307"/>
      <c r="P214" s="307"/>
      <c r="Q214" s="150"/>
      <c r="R214" s="163"/>
    </row>
    <row r="215" spans="1:18" ht="17.100000000000001" customHeight="1" x14ac:dyDescent="0.2">
      <c r="A215" s="149"/>
      <c r="B215" s="150"/>
      <c r="C215" s="147"/>
      <c r="D215" s="147"/>
      <c r="E215" s="147"/>
      <c r="F215" s="147"/>
      <c r="G215" s="147"/>
      <c r="H215" s="150"/>
      <c r="I215" s="152"/>
      <c r="J215" s="149"/>
      <c r="K215" s="150"/>
      <c r="L215" s="147"/>
      <c r="M215" s="147"/>
      <c r="N215" s="147"/>
      <c r="O215" s="147"/>
      <c r="P215" s="147"/>
      <c r="Q215" s="150"/>
      <c r="R215" s="163"/>
    </row>
    <row r="216" spans="1:18" ht="17.100000000000001" customHeight="1" x14ac:dyDescent="0.2">
      <c r="A216" s="149"/>
      <c r="B216" s="150"/>
      <c r="C216" s="150"/>
      <c r="D216" s="150"/>
      <c r="E216" s="150"/>
      <c r="F216" s="150"/>
      <c r="G216" s="150"/>
      <c r="H216" s="150"/>
      <c r="I216" s="152"/>
      <c r="J216" s="149"/>
      <c r="K216" s="150"/>
      <c r="L216" s="150"/>
      <c r="M216" s="150"/>
      <c r="N216" s="150"/>
      <c r="O216" s="150"/>
      <c r="P216" s="150"/>
      <c r="Q216" s="150"/>
      <c r="R216" s="163"/>
    </row>
    <row r="217" spans="1:18" ht="17.100000000000001" customHeight="1" x14ac:dyDescent="0.2">
      <c r="A217" s="149"/>
      <c r="I217" s="152"/>
      <c r="J217" s="149"/>
      <c r="R217" s="152"/>
    </row>
    <row r="218" spans="1:18" ht="17.100000000000001" customHeight="1" x14ac:dyDescent="0.2">
      <c r="A218" s="149"/>
      <c r="I218" s="152"/>
      <c r="J218" s="149"/>
      <c r="R218" s="148"/>
    </row>
    <row r="219" spans="1:18" ht="17.100000000000001" customHeight="1" x14ac:dyDescent="0.2">
      <c r="A219" s="308" t="s">
        <v>315</v>
      </c>
      <c r="B219" s="307"/>
      <c r="C219" s="307"/>
      <c r="D219" s="307"/>
      <c r="E219" s="307"/>
      <c r="F219" s="307"/>
      <c r="G219" s="307"/>
      <c r="H219" s="307"/>
      <c r="I219" s="309"/>
      <c r="J219" s="149"/>
      <c r="K219" s="307" t="s">
        <v>315</v>
      </c>
      <c r="L219" s="307"/>
      <c r="M219" s="307"/>
      <c r="N219" s="307"/>
      <c r="O219" s="307"/>
      <c r="P219" s="307"/>
      <c r="Q219" s="307"/>
      <c r="R219" s="148"/>
    </row>
    <row r="220" spans="1:18" ht="17.100000000000001" customHeight="1" x14ac:dyDescent="0.2">
      <c r="A220" s="310" t="s">
        <v>298</v>
      </c>
      <c r="B220" s="311"/>
      <c r="C220" s="311"/>
      <c r="D220" s="311"/>
      <c r="E220" s="311"/>
      <c r="F220" s="311"/>
      <c r="G220" s="311"/>
      <c r="H220" s="311"/>
      <c r="I220" s="312"/>
      <c r="J220" s="161"/>
      <c r="K220" s="311" t="s">
        <v>298</v>
      </c>
      <c r="L220" s="311"/>
      <c r="M220" s="311"/>
      <c r="N220" s="311"/>
      <c r="O220" s="311"/>
      <c r="P220" s="311"/>
      <c r="Q220" s="311"/>
      <c r="R220" s="162"/>
    </row>
    <row r="221" spans="1:18" ht="17.100000000000001" customHeight="1" x14ac:dyDescent="0.2">
      <c r="A221" s="313" t="str">
        <f>ขร1!J243</f>
        <v>โรงพยาบาลสามโคก  ประจำเดือน  พฤศจิกายน  2568</v>
      </c>
      <c r="B221" s="314"/>
      <c r="C221" s="314"/>
      <c r="D221" s="314"/>
      <c r="E221" s="314"/>
      <c r="F221" s="314"/>
      <c r="G221" s="314"/>
      <c r="H221" s="314"/>
      <c r="I221" s="315"/>
    </row>
    <row r="222" spans="1:18" ht="17.100000000000001" customHeight="1" x14ac:dyDescent="0.2">
      <c r="A222" s="308" t="s">
        <v>253</v>
      </c>
      <c r="B222" s="307"/>
      <c r="C222" s="307"/>
      <c r="D222" s="307"/>
      <c r="E222" s="307"/>
      <c r="F222" s="307"/>
      <c r="G222" s="307"/>
      <c r="H222" s="307"/>
      <c r="I222" s="309"/>
    </row>
    <row r="223" spans="1:18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</row>
    <row r="224" spans="1:18" ht="17.100000000000001" customHeight="1" x14ac:dyDescent="0.2">
      <c r="A224" s="149"/>
      <c r="B224" s="307" t="s">
        <v>9</v>
      </c>
      <c r="C224" s="307"/>
      <c r="D224" s="307"/>
      <c r="E224" s="147"/>
      <c r="F224" s="147"/>
      <c r="G224" s="307" t="s">
        <v>10</v>
      </c>
      <c r="H224" s="307"/>
      <c r="I224" s="152"/>
    </row>
    <row r="225" spans="1:9" ht="17.100000000000001" customHeight="1" x14ac:dyDescent="0.2">
      <c r="A225" s="149"/>
      <c r="B225" s="306" t="s">
        <v>3</v>
      </c>
      <c r="C225" s="306"/>
      <c r="D225" s="154">
        <f>ข้าราชการ!E42</f>
        <v>0</v>
      </c>
      <c r="E225" s="154"/>
      <c r="F225" s="155"/>
      <c r="G225" s="150" t="s">
        <v>99</v>
      </c>
      <c r="H225" s="154">
        <f>ข้าราชการ!N42</f>
        <v>0</v>
      </c>
      <c r="I225" s="152"/>
    </row>
    <row r="226" spans="1:9" ht="17.100000000000001" customHeight="1" x14ac:dyDescent="0.2">
      <c r="A226" s="149"/>
      <c r="B226" s="306" t="s">
        <v>106</v>
      </c>
      <c r="C226" s="306"/>
      <c r="D226" s="154">
        <f>ข้าราชการ!F42</f>
        <v>0</v>
      </c>
      <c r="E226" s="154"/>
      <c r="F226" s="155"/>
      <c r="G226" s="150" t="s">
        <v>53</v>
      </c>
      <c r="H226" s="154">
        <f>ข้าราชการ!O42</f>
        <v>0</v>
      </c>
      <c r="I226" s="152"/>
    </row>
    <row r="227" spans="1:9" ht="17.100000000000001" customHeight="1" x14ac:dyDescent="0.2">
      <c r="A227" s="149"/>
      <c r="B227" s="306" t="s">
        <v>107</v>
      </c>
      <c r="C227" s="306"/>
      <c r="D227" s="154">
        <f>ข้าราชการ!G42</f>
        <v>0</v>
      </c>
      <c r="E227" s="154"/>
      <c r="F227" s="155"/>
      <c r="G227" s="150" t="s">
        <v>54</v>
      </c>
      <c r="H227" s="154">
        <f>ข้าราชการ!P42</f>
        <v>0</v>
      </c>
      <c r="I227" s="152"/>
    </row>
    <row r="228" spans="1:9" ht="17.100000000000001" customHeight="1" x14ac:dyDescent="0.2">
      <c r="A228" s="149"/>
      <c r="B228" s="306" t="s">
        <v>105</v>
      </c>
      <c r="C228" s="306"/>
      <c r="D228" s="154">
        <f>ข้าราชการ!H46</f>
        <v>0</v>
      </c>
      <c r="E228" s="154"/>
      <c r="F228" s="155"/>
      <c r="G228" s="150" t="s">
        <v>100</v>
      </c>
      <c r="H228" s="154">
        <f>ข้าราชการ!Q42</f>
        <v>0</v>
      </c>
      <c r="I228" s="152"/>
    </row>
    <row r="229" spans="1:9" ht="17.100000000000001" customHeight="1" x14ac:dyDescent="0.2">
      <c r="A229" s="149"/>
      <c r="B229" s="306" t="s">
        <v>291</v>
      </c>
      <c r="C229" s="306"/>
      <c r="D229" s="154">
        <f>ข้าราชการ!I46</f>
        <v>0</v>
      </c>
      <c r="E229" s="154"/>
      <c r="F229" s="155"/>
      <c r="G229" s="150" t="s">
        <v>55</v>
      </c>
      <c r="H229" s="156">
        <f>ข้าราชการ!R42</f>
        <v>0</v>
      </c>
      <c r="I229" s="152"/>
    </row>
    <row r="230" spans="1:9" ht="17.100000000000001" customHeight="1" x14ac:dyDescent="0.2">
      <c r="A230" s="149"/>
      <c r="B230" s="306" t="s">
        <v>662</v>
      </c>
      <c r="C230" s="306"/>
      <c r="D230" s="154">
        <f>ข้าราชการ!J46</f>
        <v>0</v>
      </c>
      <c r="E230" s="154"/>
      <c r="F230" s="155"/>
      <c r="G230" s="153" t="s">
        <v>137</v>
      </c>
      <c r="H230" s="156">
        <f>ข้าราชการ!S46</f>
        <v>0</v>
      </c>
      <c r="I230" s="152"/>
    </row>
    <row r="231" spans="1:9" ht="17.100000000000001" customHeight="1" x14ac:dyDescent="0.2">
      <c r="A231" s="149"/>
      <c r="B231" s="306" t="s">
        <v>5</v>
      </c>
      <c r="C231" s="306"/>
      <c r="D231" s="154">
        <f>ข้าราชการ!K42</f>
        <v>0</v>
      </c>
      <c r="E231" s="154"/>
      <c r="F231" s="155"/>
      <c r="G231" s="150" t="s">
        <v>56</v>
      </c>
      <c r="H231" s="156">
        <f>ข้าราชการ!T46</f>
        <v>0</v>
      </c>
      <c r="I231" s="152"/>
    </row>
    <row r="232" spans="1:9" ht="17.100000000000001" customHeight="1" x14ac:dyDescent="0.2">
      <c r="A232" s="149"/>
      <c r="B232" s="150" t="s">
        <v>6</v>
      </c>
      <c r="C232" s="150"/>
      <c r="D232" s="154">
        <f>ข้าราชการ!L46</f>
        <v>0</v>
      </c>
      <c r="E232" s="154"/>
      <c r="F232" s="155"/>
      <c r="G232" s="150" t="s">
        <v>57</v>
      </c>
      <c r="H232" s="156">
        <f>ข้าราชการ!U46</f>
        <v>0</v>
      </c>
      <c r="I232" s="152"/>
    </row>
    <row r="233" spans="1:9" ht="17.100000000000001" customHeight="1" x14ac:dyDescent="0.2">
      <c r="A233" s="149"/>
      <c r="B233" s="306" t="s">
        <v>7</v>
      </c>
      <c r="C233" s="306"/>
      <c r="D233" s="154">
        <f>ข้าราชการ!M42</f>
        <v>0</v>
      </c>
      <c r="E233" s="154"/>
      <c r="F233" s="155"/>
      <c r="G233" s="150"/>
      <c r="H233" s="154"/>
      <c r="I233" s="152"/>
    </row>
    <row r="234" spans="1:9" ht="17.100000000000001" customHeight="1" x14ac:dyDescent="0.2">
      <c r="A234" s="149"/>
      <c r="B234" s="307" t="s">
        <v>101</v>
      </c>
      <c r="C234" s="307"/>
      <c r="D234" s="157">
        <f>SUM(D225:D233)</f>
        <v>0</v>
      </c>
      <c r="E234" s="157"/>
      <c r="F234" s="157"/>
      <c r="G234" s="147" t="s">
        <v>102</v>
      </c>
      <c r="H234" s="157">
        <f>SUM(H225:H233)</f>
        <v>0</v>
      </c>
      <c r="I234" s="152"/>
    </row>
    <row r="235" spans="1:9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</row>
    <row r="236" spans="1:9" ht="17.100000000000001" customHeight="1" x14ac:dyDescent="0.2">
      <c r="A236" s="149"/>
      <c r="B236" s="150"/>
      <c r="C236" s="307" t="str">
        <f>"("&amp;BAHTTEXT(D235)&amp;")"</f>
        <v>(ศูนย์บาทถ้วน)</v>
      </c>
      <c r="D236" s="307"/>
      <c r="E236" s="307"/>
      <c r="F236" s="307"/>
      <c r="G236" s="307"/>
      <c r="H236" s="150"/>
      <c r="I236" s="152"/>
    </row>
    <row r="237" spans="1:9" ht="17.100000000000001" customHeight="1" x14ac:dyDescent="0.2">
      <c r="A237" s="149"/>
      <c r="B237" s="150"/>
      <c r="C237" s="147"/>
      <c r="D237" s="147"/>
      <c r="E237" s="147"/>
      <c r="F237" s="147"/>
      <c r="G237" s="147"/>
      <c r="H237" s="150"/>
      <c r="I237" s="152"/>
    </row>
    <row r="238" spans="1:9" ht="17.100000000000001" customHeight="1" x14ac:dyDescent="0.2">
      <c r="A238" s="149"/>
      <c r="B238" s="150"/>
      <c r="C238" s="150"/>
      <c r="D238" s="150"/>
      <c r="E238" s="150"/>
      <c r="F238" s="150"/>
      <c r="G238" s="150"/>
      <c r="H238" s="150"/>
      <c r="I238" s="152"/>
    </row>
    <row r="239" spans="1:9" ht="17.100000000000001" customHeight="1" x14ac:dyDescent="0.2">
      <c r="A239" s="149"/>
      <c r="I239" s="152"/>
    </row>
    <row r="240" spans="1:9" ht="17.100000000000001" customHeight="1" x14ac:dyDescent="0.2">
      <c r="A240" s="149"/>
      <c r="I240" s="152"/>
    </row>
    <row r="241" spans="1:9" ht="17.100000000000001" customHeight="1" x14ac:dyDescent="0.2">
      <c r="A241" s="308" t="s">
        <v>315</v>
      </c>
      <c r="B241" s="307"/>
      <c r="C241" s="307"/>
      <c r="D241" s="307"/>
      <c r="E241" s="307"/>
      <c r="F241" s="307"/>
      <c r="G241" s="307"/>
      <c r="H241" s="307"/>
      <c r="I241" s="309"/>
    </row>
    <row r="242" spans="1:9" ht="17.100000000000001" customHeight="1" x14ac:dyDescent="0.2">
      <c r="A242" s="310" t="s">
        <v>298</v>
      </c>
      <c r="B242" s="311"/>
      <c r="C242" s="311"/>
      <c r="D242" s="311"/>
      <c r="E242" s="311"/>
      <c r="F242" s="311"/>
      <c r="G242" s="311"/>
      <c r="H242" s="311"/>
      <c r="I242" s="312"/>
    </row>
  </sheetData>
  <mergeCells count="336">
    <mergeCell ref="A154:I154"/>
    <mergeCell ref="A153:I153"/>
    <mergeCell ref="B145:C145"/>
    <mergeCell ref="G136:H136"/>
    <mergeCell ref="B158:D158"/>
    <mergeCell ref="G158:H158"/>
    <mergeCell ref="B163:C163"/>
    <mergeCell ref="A242:I242"/>
    <mergeCell ref="B231:C231"/>
    <mergeCell ref="B230:C230"/>
    <mergeCell ref="B226:C226"/>
    <mergeCell ref="B227:C227"/>
    <mergeCell ref="B228:C228"/>
    <mergeCell ref="B229:C229"/>
    <mergeCell ref="B234:C234"/>
    <mergeCell ref="B233:C233"/>
    <mergeCell ref="C236:G236"/>
    <mergeCell ref="A241:I241"/>
    <mergeCell ref="B211:C211"/>
    <mergeCell ref="B212:C212"/>
    <mergeCell ref="B208:C208"/>
    <mergeCell ref="B209:C209"/>
    <mergeCell ref="A177:I177"/>
    <mergeCell ref="A156:I156"/>
    <mergeCell ref="J200:R200"/>
    <mergeCell ref="B225:C225"/>
    <mergeCell ref="A221:I221"/>
    <mergeCell ref="B203:C203"/>
    <mergeCell ref="B10:C10"/>
    <mergeCell ref="A88:I88"/>
    <mergeCell ref="A68:I68"/>
    <mergeCell ref="K75:L75"/>
    <mergeCell ref="P70:Q70"/>
    <mergeCell ref="K70:M70"/>
    <mergeCell ref="A222:I222"/>
    <mergeCell ref="K30:L30"/>
    <mergeCell ref="K29:L29"/>
    <mergeCell ref="K76:L76"/>
    <mergeCell ref="K77:L77"/>
    <mergeCell ref="B71:C71"/>
    <mergeCell ref="B72:C72"/>
    <mergeCell ref="P48:Q48"/>
    <mergeCell ref="K48:M48"/>
    <mergeCell ref="A46:I46"/>
    <mergeCell ref="J23:R23"/>
    <mergeCell ref="B29:C29"/>
    <mergeCell ref="B76:C76"/>
    <mergeCell ref="B5:C5"/>
    <mergeCell ref="B6:C6"/>
    <mergeCell ref="B114:D114"/>
    <mergeCell ref="G114:H114"/>
    <mergeCell ref="C104:G104"/>
    <mergeCell ref="A109:I109"/>
    <mergeCell ref="B57:C57"/>
    <mergeCell ref="A67:I67"/>
    <mergeCell ref="A65:I65"/>
    <mergeCell ref="B73:C73"/>
    <mergeCell ref="B92:D92"/>
    <mergeCell ref="B74:C74"/>
    <mergeCell ref="B77:C77"/>
    <mergeCell ref="B79:C79"/>
    <mergeCell ref="B80:C80"/>
    <mergeCell ref="C82:G82"/>
    <mergeCell ref="B101:C101"/>
    <mergeCell ref="B99:C99"/>
    <mergeCell ref="A110:I110"/>
    <mergeCell ref="B55:C55"/>
    <mergeCell ref="B53:C53"/>
    <mergeCell ref="A23:I23"/>
    <mergeCell ref="B28:C28"/>
    <mergeCell ref="G26:H26"/>
    <mergeCell ref="A1:I1"/>
    <mergeCell ref="A21:I21"/>
    <mergeCell ref="C16:G16"/>
    <mergeCell ref="B13:C13"/>
    <mergeCell ref="B14:C14"/>
    <mergeCell ref="B11:C11"/>
    <mergeCell ref="B4:D4"/>
    <mergeCell ref="K28:L28"/>
    <mergeCell ref="J1:R1"/>
    <mergeCell ref="K4:M4"/>
    <mergeCell ref="P4:Q4"/>
    <mergeCell ref="G4:H4"/>
    <mergeCell ref="K13:L13"/>
    <mergeCell ref="K5:L5"/>
    <mergeCell ref="K26:M26"/>
    <mergeCell ref="P26:Q26"/>
    <mergeCell ref="K14:L14"/>
    <mergeCell ref="J21:R21"/>
    <mergeCell ref="J2:Q2"/>
    <mergeCell ref="B7:C7"/>
    <mergeCell ref="B8:C8"/>
    <mergeCell ref="B9:C9"/>
    <mergeCell ref="A2:I2"/>
    <mergeCell ref="B26:D26"/>
    <mergeCell ref="K6:L6"/>
    <mergeCell ref="K7:L7"/>
    <mergeCell ref="B32:C32"/>
    <mergeCell ref="A24:I24"/>
    <mergeCell ref="A45:I45"/>
    <mergeCell ref="K33:L33"/>
    <mergeCell ref="K36:L36"/>
    <mergeCell ref="K32:L32"/>
    <mergeCell ref="L38:P38"/>
    <mergeCell ref="B33:C33"/>
    <mergeCell ref="C38:G38"/>
    <mergeCell ref="B36:C36"/>
    <mergeCell ref="K35:L35"/>
    <mergeCell ref="J45:R45"/>
    <mergeCell ref="B27:C27"/>
    <mergeCell ref="A22:I22"/>
    <mergeCell ref="B43:H43"/>
    <mergeCell ref="B30:C30"/>
    <mergeCell ref="J22:R22"/>
    <mergeCell ref="K8:L8"/>
    <mergeCell ref="K9:L9"/>
    <mergeCell ref="L16:P16"/>
    <mergeCell ref="K10:L10"/>
    <mergeCell ref="K11:L11"/>
    <mergeCell ref="K27:L27"/>
    <mergeCell ref="B35:C35"/>
    <mergeCell ref="B181:C181"/>
    <mergeCell ref="G92:H92"/>
    <mergeCell ref="A89:I89"/>
    <mergeCell ref="B93:C93"/>
    <mergeCell ref="B206:C206"/>
    <mergeCell ref="B164:C164"/>
    <mergeCell ref="B162:C162"/>
    <mergeCell ref="B136:D136"/>
    <mergeCell ref="B138:C138"/>
    <mergeCell ref="K98:L98"/>
    <mergeCell ref="A178:H178"/>
    <mergeCell ref="L104:P104"/>
    <mergeCell ref="J88:R88"/>
    <mergeCell ref="A112:I112"/>
    <mergeCell ref="B205:C205"/>
    <mergeCell ref="G202:H202"/>
    <mergeCell ref="A199:I199"/>
    <mergeCell ref="A176:I176"/>
    <mergeCell ref="B168:C168"/>
    <mergeCell ref="C170:G170"/>
    <mergeCell ref="B117:C117"/>
    <mergeCell ref="B97:C97"/>
    <mergeCell ref="B96:C96"/>
    <mergeCell ref="B98:C98"/>
    <mergeCell ref="B95:C95"/>
    <mergeCell ref="A90:I90"/>
    <mergeCell ref="A175:I175"/>
    <mergeCell ref="B31:C31"/>
    <mergeCell ref="B52:C52"/>
    <mergeCell ref="K31:L31"/>
    <mergeCell ref="B44:H44"/>
    <mergeCell ref="K58:L58"/>
    <mergeCell ref="B58:C58"/>
    <mergeCell ref="C60:G60"/>
    <mergeCell ref="L60:P60"/>
    <mergeCell ref="K49:L49"/>
    <mergeCell ref="K53:L53"/>
    <mergeCell ref="B54:C54"/>
    <mergeCell ref="B49:C49"/>
    <mergeCell ref="K55:L55"/>
    <mergeCell ref="A87:I87"/>
    <mergeCell ref="G70:H70"/>
    <mergeCell ref="B75:C75"/>
    <mergeCell ref="K51:L51"/>
    <mergeCell ref="B50:C50"/>
    <mergeCell ref="B139:C139"/>
    <mergeCell ref="B48:D48"/>
    <mergeCell ref="G48:H48"/>
    <mergeCell ref="J43:R43"/>
    <mergeCell ref="K57:L57"/>
    <mergeCell ref="K52:L52"/>
    <mergeCell ref="K79:L79"/>
    <mergeCell ref="J44:R44"/>
    <mergeCell ref="J65:R65"/>
    <mergeCell ref="B94:C94"/>
    <mergeCell ref="L82:P82"/>
    <mergeCell ref="J66:R66"/>
    <mergeCell ref="J87:R87"/>
    <mergeCell ref="A66:I66"/>
    <mergeCell ref="K54:L54"/>
    <mergeCell ref="K72:L72"/>
    <mergeCell ref="K71:L71"/>
    <mergeCell ref="K50:L50"/>
    <mergeCell ref="B70:D70"/>
    <mergeCell ref="K80:L80"/>
    <mergeCell ref="B51:C51"/>
    <mergeCell ref="A198:I198"/>
    <mergeCell ref="B189:C189"/>
    <mergeCell ref="K96:L96"/>
    <mergeCell ref="K101:L101"/>
    <mergeCell ref="K117:L117"/>
    <mergeCell ref="K198:Q198"/>
    <mergeCell ref="K189:L189"/>
    <mergeCell ref="K190:L190"/>
    <mergeCell ref="K162:L162"/>
    <mergeCell ref="B190:C190"/>
    <mergeCell ref="A134:I134"/>
    <mergeCell ref="C148:G148"/>
    <mergeCell ref="B146:C146"/>
    <mergeCell ref="B115:C115"/>
    <mergeCell ref="B140:C140"/>
    <mergeCell ref="B141:C141"/>
    <mergeCell ref="B142:C142"/>
    <mergeCell ref="B143:C143"/>
    <mergeCell ref="B159:C159"/>
    <mergeCell ref="B160:C160"/>
    <mergeCell ref="B180:D180"/>
    <mergeCell ref="B161:C161"/>
    <mergeCell ref="B137:C137"/>
    <mergeCell ref="A197:I197"/>
    <mergeCell ref="B224:D224"/>
    <mergeCell ref="B207:C207"/>
    <mergeCell ref="G180:H180"/>
    <mergeCell ref="G224:H224"/>
    <mergeCell ref="K185:L185"/>
    <mergeCell ref="K181:L181"/>
    <mergeCell ref="K182:L182"/>
    <mergeCell ref="K183:L183"/>
    <mergeCell ref="K197:Q197"/>
    <mergeCell ref="A219:I219"/>
    <mergeCell ref="C214:G214"/>
    <mergeCell ref="B204:C204"/>
    <mergeCell ref="B202:D202"/>
    <mergeCell ref="B182:C182"/>
    <mergeCell ref="A220:I220"/>
    <mergeCell ref="K187:L187"/>
    <mergeCell ref="L192:P192"/>
    <mergeCell ref="K184:L184"/>
    <mergeCell ref="K186:L186"/>
    <mergeCell ref="B186:C186"/>
    <mergeCell ref="B187:C187"/>
    <mergeCell ref="B183:C183"/>
    <mergeCell ref="B184:C184"/>
    <mergeCell ref="B185:C185"/>
    <mergeCell ref="K94:L94"/>
    <mergeCell ref="K95:L95"/>
    <mergeCell ref="J67:R67"/>
    <mergeCell ref="J132:R132"/>
    <mergeCell ref="K141:L141"/>
    <mergeCell ref="L126:P126"/>
    <mergeCell ref="K140:L140"/>
    <mergeCell ref="J154:R154"/>
    <mergeCell ref="K123:L123"/>
    <mergeCell ref="K118:L118"/>
    <mergeCell ref="K119:L119"/>
    <mergeCell ref="J111:R111"/>
    <mergeCell ref="K115:L115"/>
    <mergeCell ref="K116:L116"/>
    <mergeCell ref="K93:L93"/>
    <mergeCell ref="J89:R89"/>
    <mergeCell ref="K73:L73"/>
    <mergeCell ref="J90:R90"/>
    <mergeCell ref="J112:R112"/>
    <mergeCell ref="K99:L99"/>
    <mergeCell ref="K121:L121"/>
    <mergeCell ref="J133:R133"/>
    <mergeCell ref="K102:L102"/>
    <mergeCell ref="K74:L74"/>
    <mergeCell ref="K120:L120"/>
    <mergeCell ref="J109:R109"/>
    <mergeCell ref="J110:R110"/>
    <mergeCell ref="K114:M114"/>
    <mergeCell ref="P114:Q114"/>
    <mergeCell ref="A132:I132"/>
    <mergeCell ref="B124:C124"/>
    <mergeCell ref="A111:I111"/>
    <mergeCell ref="B120:C120"/>
    <mergeCell ref="B123:C123"/>
    <mergeCell ref="J131:R131"/>
    <mergeCell ref="C126:G126"/>
    <mergeCell ref="B116:C116"/>
    <mergeCell ref="B118:C118"/>
    <mergeCell ref="A131:I131"/>
    <mergeCell ref="K92:M92"/>
    <mergeCell ref="B119:C119"/>
    <mergeCell ref="A133:I133"/>
    <mergeCell ref="B102:C102"/>
    <mergeCell ref="P92:Q92"/>
    <mergeCell ref="K97:L97"/>
    <mergeCell ref="K167:L167"/>
    <mergeCell ref="K163:L163"/>
    <mergeCell ref="K164:L164"/>
    <mergeCell ref="K124:L124"/>
    <mergeCell ref="B121:C121"/>
    <mergeCell ref="P136:Q136"/>
    <mergeCell ref="K137:L137"/>
    <mergeCell ref="K138:L138"/>
    <mergeCell ref="K139:L139"/>
    <mergeCell ref="J153:R153"/>
    <mergeCell ref="K142:L142"/>
    <mergeCell ref="L148:P148"/>
    <mergeCell ref="K160:L160"/>
    <mergeCell ref="J155:R155"/>
    <mergeCell ref="K145:L145"/>
    <mergeCell ref="B165:C165"/>
    <mergeCell ref="B167:C167"/>
    <mergeCell ref="A155:I155"/>
    <mergeCell ref="P180:Q180"/>
    <mergeCell ref="J177:R177"/>
    <mergeCell ref="K161:L161"/>
    <mergeCell ref="K143:L143"/>
    <mergeCell ref="K136:M136"/>
    <mergeCell ref="K165:L165"/>
    <mergeCell ref="K175:Q175"/>
    <mergeCell ref="K176:Q176"/>
    <mergeCell ref="L170:P170"/>
    <mergeCell ref="K159:L159"/>
    <mergeCell ref="K158:M158"/>
    <mergeCell ref="P158:Q158"/>
    <mergeCell ref="K168:L168"/>
    <mergeCell ref="K180:M180"/>
    <mergeCell ref="C192:G192"/>
    <mergeCell ref="A200:I200"/>
    <mergeCell ref="J24:R24"/>
    <mergeCell ref="J134:R134"/>
    <mergeCell ref="J68:R68"/>
    <mergeCell ref="J46:R46"/>
    <mergeCell ref="J156:R156"/>
    <mergeCell ref="J178:R178"/>
    <mergeCell ref="K220:Q220"/>
    <mergeCell ref="K212:L212"/>
    <mergeCell ref="L214:P214"/>
    <mergeCell ref="K203:L203"/>
    <mergeCell ref="K204:L204"/>
    <mergeCell ref="K202:M202"/>
    <mergeCell ref="P202:Q202"/>
    <mergeCell ref="J199:R199"/>
    <mergeCell ref="K219:Q219"/>
    <mergeCell ref="K205:L205"/>
    <mergeCell ref="K209:L209"/>
    <mergeCell ref="K211:L211"/>
    <mergeCell ref="K206:L206"/>
    <mergeCell ref="K208:L208"/>
    <mergeCell ref="K207:L207"/>
    <mergeCell ref="K146:L146"/>
  </mergeCells>
  <pageMargins left="0.23622047244094491" right="0" top="0.31496062992125984" bottom="0" header="0" footer="0"/>
  <pageSetup paperSize="1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R220"/>
  <sheetViews>
    <sheetView topLeftCell="A100" zoomScale="80" zoomScaleNormal="80" workbookViewId="0">
      <selection activeCell="N115" sqref="N115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10" width="5.625" style="145" customWidth="1"/>
    <col min="11" max="11" width="4" style="145" customWidth="1"/>
    <col min="12" max="12" width="21.625" style="145" customWidth="1"/>
    <col min="13" max="13" width="12.625" style="145" customWidth="1"/>
    <col min="14" max="15" width="3.625" style="145" customWidth="1"/>
    <col min="16" max="16" width="24.8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313" t="str">
        <f>ขร2!J111</f>
        <v>โรงพยาบาลสามโคก  ประจำเดือน  พฤศจิกายน  2568</v>
      </c>
      <c r="B1" s="314"/>
      <c r="C1" s="314"/>
      <c r="D1" s="314"/>
      <c r="E1" s="314"/>
      <c r="F1" s="314"/>
      <c r="G1" s="314"/>
      <c r="H1" s="314"/>
      <c r="I1" s="315"/>
      <c r="J1" s="313" t="str">
        <f>A23</f>
        <v>โรงพยาบาลสามโคก  ประจำเดือน  พฤศจิกายน  2568</v>
      </c>
      <c r="K1" s="314"/>
      <c r="L1" s="314"/>
      <c r="M1" s="314"/>
      <c r="N1" s="314"/>
      <c r="O1" s="314"/>
      <c r="P1" s="314"/>
      <c r="Q1" s="314"/>
      <c r="R1" s="315"/>
    </row>
    <row r="2" spans="1:18" ht="17.100000000000001" customHeight="1" x14ac:dyDescent="0.2">
      <c r="A2" s="308" t="s">
        <v>394</v>
      </c>
      <c r="B2" s="307"/>
      <c r="C2" s="307"/>
      <c r="D2" s="307"/>
      <c r="E2" s="307"/>
      <c r="F2" s="307"/>
      <c r="G2" s="307"/>
      <c r="H2" s="307"/>
      <c r="I2" s="309"/>
      <c r="J2" s="308" t="s">
        <v>555</v>
      </c>
      <c r="K2" s="307"/>
      <c r="L2" s="307"/>
      <c r="M2" s="307"/>
      <c r="N2" s="307"/>
      <c r="O2" s="307"/>
      <c r="P2" s="307"/>
      <c r="Q2" s="307"/>
      <c r="R2" s="309"/>
    </row>
    <row r="3" spans="1:18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  <c r="J3" s="149"/>
      <c r="K3" s="153"/>
      <c r="L3" s="150"/>
      <c r="M3" s="147"/>
      <c r="N3" s="147"/>
      <c r="O3" s="147"/>
      <c r="P3" s="150"/>
      <c r="Q3" s="150"/>
      <c r="R3" s="152"/>
    </row>
    <row r="4" spans="1:18" ht="17.100000000000001" customHeight="1" x14ac:dyDescent="0.2">
      <c r="A4" s="149"/>
      <c r="B4" s="307" t="s">
        <v>9</v>
      </c>
      <c r="C4" s="307"/>
      <c r="D4" s="307"/>
      <c r="E4" s="147"/>
      <c r="F4" s="147"/>
      <c r="G4" s="307" t="s">
        <v>10</v>
      </c>
      <c r="H4" s="307"/>
      <c r="I4" s="152"/>
      <c r="J4" s="149"/>
      <c r="K4" s="307" t="s">
        <v>9</v>
      </c>
      <c r="L4" s="307"/>
      <c r="M4" s="307"/>
      <c r="N4" s="147"/>
      <c r="O4" s="147"/>
      <c r="P4" s="307" t="s">
        <v>10</v>
      </c>
      <c r="Q4" s="307"/>
      <c r="R4" s="152"/>
    </row>
    <row r="5" spans="1:18" ht="17.100000000000001" customHeight="1" x14ac:dyDescent="0.2">
      <c r="A5" s="149"/>
      <c r="B5" s="306" t="s">
        <v>3</v>
      </c>
      <c r="C5" s="306"/>
      <c r="D5" s="154">
        <f>ข้าราชการ!E55</f>
        <v>0</v>
      </c>
      <c r="E5" s="154"/>
      <c r="F5" s="155"/>
      <c r="G5" s="150" t="s">
        <v>99</v>
      </c>
      <c r="H5" s="154">
        <v>0</v>
      </c>
      <c r="I5" s="152"/>
      <c r="J5" s="149"/>
      <c r="K5" s="306" t="s">
        <v>3</v>
      </c>
      <c r="L5" s="306"/>
      <c r="M5" s="154">
        <v>0</v>
      </c>
      <c r="N5" s="154"/>
      <c r="O5" s="155"/>
      <c r="P5" s="150" t="s">
        <v>99</v>
      </c>
      <c r="Q5" s="154">
        <v>0</v>
      </c>
      <c r="R5" s="152"/>
    </row>
    <row r="6" spans="1:18" ht="17.100000000000001" customHeight="1" x14ac:dyDescent="0.2">
      <c r="A6" s="149"/>
      <c r="B6" s="306" t="s">
        <v>106</v>
      </c>
      <c r="C6" s="306"/>
      <c r="D6" s="154">
        <v>0</v>
      </c>
      <c r="E6" s="154"/>
      <c r="F6" s="155"/>
      <c r="G6" s="150" t="s">
        <v>53</v>
      </c>
      <c r="H6" s="154">
        <v>0</v>
      </c>
      <c r="I6" s="152"/>
      <c r="J6" s="149"/>
      <c r="K6" s="306" t="s">
        <v>106</v>
      </c>
      <c r="L6" s="306"/>
      <c r="M6" s="154">
        <v>0</v>
      </c>
      <c r="N6" s="154"/>
      <c r="O6" s="155"/>
      <c r="P6" s="150" t="s">
        <v>53</v>
      </c>
      <c r="Q6" s="154">
        <v>0</v>
      </c>
      <c r="R6" s="152"/>
    </row>
    <row r="7" spans="1:18" ht="17.100000000000001" customHeight="1" x14ac:dyDescent="0.2">
      <c r="A7" s="149"/>
      <c r="B7" s="306" t="s">
        <v>107</v>
      </c>
      <c r="C7" s="306"/>
      <c r="D7" s="154">
        <v>0</v>
      </c>
      <c r="E7" s="154"/>
      <c r="F7" s="155"/>
      <c r="G7" s="150" t="s">
        <v>54</v>
      </c>
      <c r="H7" s="154">
        <v>0</v>
      </c>
      <c r="I7" s="152"/>
      <c r="J7" s="149"/>
      <c r="K7" s="317" t="s">
        <v>140</v>
      </c>
      <c r="L7" s="317"/>
      <c r="M7" s="154">
        <v>0</v>
      </c>
      <c r="N7" s="154"/>
      <c r="O7" s="155"/>
      <c r="P7" s="150" t="s">
        <v>54</v>
      </c>
      <c r="Q7" s="154">
        <v>0</v>
      </c>
      <c r="R7" s="152"/>
    </row>
    <row r="8" spans="1:18" ht="17.100000000000001" customHeight="1" x14ac:dyDescent="0.2">
      <c r="A8" s="149"/>
      <c r="B8" s="306" t="s">
        <v>130</v>
      </c>
      <c r="C8" s="306"/>
      <c r="D8" s="154">
        <f>ข้าราชการ!H57</f>
        <v>0</v>
      </c>
      <c r="E8" s="154"/>
      <c r="F8" s="155"/>
      <c r="G8" s="150" t="s">
        <v>100</v>
      </c>
      <c r="H8" s="154">
        <v>0</v>
      </c>
      <c r="I8" s="152"/>
      <c r="J8" s="149"/>
      <c r="K8" s="306" t="s">
        <v>105</v>
      </c>
      <c r="L8" s="306"/>
      <c r="M8" s="154">
        <v>0</v>
      </c>
      <c r="N8" s="154"/>
      <c r="O8" s="155"/>
      <c r="P8" s="150" t="s">
        <v>100</v>
      </c>
      <c r="Q8" s="154">
        <v>0</v>
      </c>
      <c r="R8" s="152"/>
    </row>
    <row r="9" spans="1:18" ht="17.100000000000001" customHeight="1" x14ac:dyDescent="0.2">
      <c r="A9" s="149"/>
      <c r="B9" s="306" t="s">
        <v>291</v>
      </c>
      <c r="C9" s="306"/>
      <c r="D9" s="154">
        <f>ข้าราชการ!I57</f>
        <v>0</v>
      </c>
      <c r="E9" s="154"/>
      <c r="F9" s="155"/>
      <c r="G9" s="150" t="s">
        <v>55</v>
      </c>
      <c r="H9" s="156">
        <v>0</v>
      </c>
      <c r="I9" s="152"/>
      <c r="J9" s="149"/>
      <c r="K9" s="306" t="s">
        <v>291</v>
      </c>
      <c r="L9" s="306"/>
      <c r="M9" s="154">
        <f>ข้าราชการ!I70</f>
        <v>0</v>
      </c>
      <c r="N9" s="154"/>
      <c r="O9" s="155"/>
      <c r="P9" s="150" t="s">
        <v>55</v>
      </c>
      <c r="Q9" s="156">
        <v>0</v>
      </c>
      <c r="R9" s="152"/>
    </row>
    <row r="10" spans="1:18" ht="17.100000000000001" customHeight="1" x14ac:dyDescent="0.2">
      <c r="A10" s="149"/>
      <c r="B10" s="306" t="s">
        <v>119</v>
      </c>
      <c r="C10" s="306"/>
      <c r="D10" s="154">
        <f>ข้าราชการ!J57</f>
        <v>0</v>
      </c>
      <c r="E10" s="154"/>
      <c r="F10" s="155"/>
      <c r="G10" s="153" t="s">
        <v>137</v>
      </c>
      <c r="H10" s="156">
        <f>ข้าราชการ!S55</f>
        <v>0</v>
      </c>
      <c r="I10" s="152"/>
      <c r="J10" s="149"/>
      <c r="K10" s="306" t="s">
        <v>662</v>
      </c>
      <c r="L10" s="306"/>
      <c r="M10" s="154">
        <f>ข้าราชการ!J69</f>
        <v>0</v>
      </c>
      <c r="N10" s="154"/>
      <c r="O10" s="155"/>
      <c r="P10" s="153" t="s">
        <v>137</v>
      </c>
      <c r="Q10" s="156">
        <v>0</v>
      </c>
      <c r="R10" s="152"/>
    </row>
    <row r="11" spans="1:18" ht="17.100000000000001" customHeight="1" x14ac:dyDescent="0.2">
      <c r="A11" s="149"/>
      <c r="B11" s="306" t="s">
        <v>5</v>
      </c>
      <c r="C11" s="306"/>
      <c r="D11" s="154">
        <f>ข้าราชการ!K55</f>
        <v>0</v>
      </c>
      <c r="E11" s="154"/>
      <c r="F11" s="155"/>
      <c r="G11" s="150" t="s">
        <v>56</v>
      </c>
      <c r="H11" s="156">
        <f>ข้าราชการ!T55</f>
        <v>0</v>
      </c>
      <c r="I11" s="152"/>
      <c r="J11" s="149"/>
      <c r="K11" s="306" t="s">
        <v>5</v>
      </c>
      <c r="L11" s="306"/>
      <c r="M11" s="154">
        <f>ข้าราชการ!K69</f>
        <v>0</v>
      </c>
      <c r="N11" s="154"/>
      <c r="O11" s="155"/>
      <c r="P11" s="150" t="s">
        <v>56</v>
      </c>
      <c r="Q11" s="156">
        <f>ข้าราชการ!T69</f>
        <v>0</v>
      </c>
      <c r="R11" s="152"/>
    </row>
    <row r="12" spans="1:18" ht="17.100000000000001" customHeight="1" x14ac:dyDescent="0.2">
      <c r="A12" s="149"/>
      <c r="B12" s="150" t="s">
        <v>6</v>
      </c>
      <c r="C12" s="150"/>
      <c r="D12" s="154">
        <v>0</v>
      </c>
      <c r="E12" s="154"/>
      <c r="F12" s="155"/>
      <c r="G12" s="150" t="s">
        <v>57</v>
      </c>
      <c r="H12" s="156">
        <f>ข้าราชการ!U55</f>
        <v>0</v>
      </c>
      <c r="I12" s="152"/>
      <c r="J12" s="149"/>
      <c r="K12" s="150" t="s">
        <v>6</v>
      </c>
      <c r="L12" s="150"/>
      <c r="M12" s="154">
        <v>0</v>
      </c>
      <c r="N12" s="154"/>
      <c r="O12" s="155"/>
      <c r="P12" s="150" t="s">
        <v>57</v>
      </c>
      <c r="Q12" s="156">
        <f>ข้าราชการ!U69</f>
        <v>0</v>
      </c>
      <c r="R12" s="152"/>
    </row>
    <row r="13" spans="1:18" ht="17.100000000000001" customHeight="1" x14ac:dyDescent="0.2">
      <c r="A13" s="149"/>
      <c r="B13" s="306" t="s">
        <v>7</v>
      </c>
      <c r="C13" s="306"/>
      <c r="D13" s="154">
        <f>ข้าราชการ!M55</f>
        <v>0</v>
      </c>
      <c r="E13" s="154"/>
      <c r="F13" s="155"/>
      <c r="G13" s="150"/>
      <c r="H13" s="154"/>
      <c r="I13" s="152"/>
      <c r="J13" s="149"/>
      <c r="K13" s="306" t="s">
        <v>7</v>
      </c>
      <c r="L13" s="306"/>
      <c r="M13" s="154">
        <v>0</v>
      </c>
      <c r="N13" s="154"/>
      <c r="O13" s="155"/>
      <c r="P13" s="150"/>
      <c r="Q13" s="154"/>
      <c r="R13" s="152"/>
    </row>
    <row r="14" spans="1:18" ht="17.100000000000001" customHeight="1" x14ac:dyDescent="0.2">
      <c r="A14" s="149"/>
      <c r="B14" s="307" t="s">
        <v>101</v>
      </c>
      <c r="C14" s="307"/>
      <c r="D14" s="157">
        <f>SUM(D5:D13)</f>
        <v>0</v>
      </c>
      <c r="E14" s="157"/>
      <c r="F14" s="157"/>
      <c r="G14" s="147" t="s">
        <v>102</v>
      </c>
      <c r="H14" s="157">
        <f>SUM(H5:H13)</f>
        <v>0</v>
      </c>
      <c r="I14" s="152"/>
      <c r="J14" s="149"/>
      <c r="K14" s="307" t="s">
        <v>101</v>
      </c>
      <c r="L14" s="307"/>
      <c r="M14" s="154">
        <f>SUM(M5:M13)</f>
        <v>0</v>
      </c>
      <c r="N14" s="157"/>
      <c r="O14" s="157"/>
      <c r="P14" s="147" t="s">
        <v>102</v>
      </c>
      <c r="Q14" s="157">
        <f>SUM(Q5:Q13)</f>
        <v>0</v>
      </c>
      <c r="R14" s="152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  <c r="J15" s="149"/>
      <c r="K15" s="150"/>
      <c r="L15" s="147" t="s">
        <v>103</v>
      </c>
      <c r="M15" s="157">
        <f>M14-Q14</f>
        <v>0</v>
      </c>
      <c r="N15" s="157"/>
      <c r="O15" s="158" t="s">
        <v>104</v>
      </c>
      <c r="Q15" s="150"/>
      <c r="R15" s="152"/>
    </row>
    <row r="16" spans="1:18" ht="17.100000000000001" customHeight="1" x14ac:dyDescent="0.2">
      <c r="A16" s="149"/>
      <c r="B16" s="150"/>
      <c r="C16" s="307" t="str">
        <f>"("&amp;BAHTTEXT(D15)&amp;")"</f>
        <v>(ศูนย์บาทถ้วน)</v>
      </c>
      <c r="D16" s="307"/>
      <c r="E16" s="307"/>
      <c r="F16" s="307"/>
      <c r="G16" s="307"/>
      <c r="H16" s="150"/>
      <c r="I16" s="152"/>
      <c r="J16" s="149"/>
      <c r="K16" s="150"/>
      <c r="L16" s="307" t="str">
        <f>"("&amp;BAHTTEXT(M15)&amp;")"</f>
        <v>(ศูนย์บาทถ้วน)</v>
      </c>
      <c r="M16" s="307"/>
      <c r="N16" s="307"/>
      <c r="O16" s="307"/>
      <c r="P16" s="307"/>
      <c r="Q16" s="150"/>
      <c r="R16" s="152"/>
    </row>
    <row r="17" spans="1:18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  <c r="J17" s="149"/>
      <c r="K17" s="150"/>
      <c r="L17" s="147"/>
      <c r="M17" s="147"/>
      <c r="N17" s="147"/>
      <c r="O17" s="147"/>
      <c r="P17" s="147"/>
      <c r="Q17" s="150"/>
      <c r="R17" s="152"/>
    </row>
    <row r="18" spans="1:18" ht="17.100000000000001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2"/>
      <c r="J18" s="149"/>
      <c r="K18" s="150"/>
      <c r="L18" s="150"/>
      <c r="M18" s="150"/>
      <c r="N18" s="150"/>
      <c r="O18" s="150"/>
      <c r="P18" s="150"/>
      <c r="Q18" s="150"/>
      <c r="R18" s="152"/>
    </row>
    <row r="19" spans="1:18" ht="17.100000000000001" customHeight="1" x14ac:dyDescent="0.2">
      <c r="A19" s="149"/>
      <c r="I19" s="152"/>
      <c r="J19" s="149"/>
      <c r="R19" s="152"/>
    </row>
    <row r="20" spans="1:18" ht="17.100000000000001" customHeight="1" x14ac:dyDescent="0.2">
      <c r="A20" s="149"/>
      <c r="I20" s="152"/>
      <c r="J20" s="149"/>
      <c r="R20" s="152"/>
    </row>
    <row r="21" spans="1:18" ht="17.100000000000001" customHeight="1" x14ac:dyDescent="0.2">
      <c r="A21" s="308" t="s">
        <v>315</v>
      </c>
      <c r="B21" s="307"/>
      <c r="C21" s="307"/>
      <c r="D21" s="307"/>
      <c r="E21" s="307"/>
      <c r="F21" s="307"/>
      <c r="G21" s="307"/>
      <c r="H21" s="307"/>
      <c r="I21" s="309"/>
      <c r="J21" s="308" t="s">
        <v>315</v>
      </c>
      <c r="K21" s="307"/>
      <c r="L21" s="307"/>
      <c r="M21" s="307"/>
      <c r="N21" s="307"/>
      <c r="O21" s="307"/>
      <c r="P21" s="307"/>
      <c r="Q21" s="307"/>
      <c r="R21" s="309"/>
    </row>
    <row r="22" spans="1:18" ht="17.100000000000001" customHeight="1" x14ac:dyDescent="0.2">
      <c r="A22" s="310" t="s">
        <v>298</v>
      </c>
      <c r="B22" s="311"/>
      <c r="C22" s="311"/>
      <c r="D22" s="311"/>
      <c r="E22" s="311"/>
      <c r="F22" s="311"/>
      <c r="G22" s="311"/>
      <c r="H22" s="311"/>
      <c r="I22" s="312"/>
      <c r="J22" s="310" t="s">
        <v>298</v>
      </c>
      <c r="K22" s="311"/>
      <c r="L22" s="311"/>
      <c r="M22" s="311"/>
      <c r="N22" s="311"/>
      <c r="O22" s="311"/>
      <c r="P22" s="311"/>
      <c r="Q22" s="311"/>
      <c r="R22" s="312"/>
    </row>
    <row r="23" spans="1:18" ht="17.100000000000001" customHeight="1" x14ac:dyDescent="0.2">
      <c r="A23" s="313" t="str">
        <f>ขร2!J111</f>
        <v>โรงพยาบาลสามโคก  ประจำเดือน  พฤศจิกายน  2568</v>
      </c>
      <c r="B23" s="314"/>
      <c r="C23" s="314"/>
      <c r="D23" s="314"/>
      <c r="E23" s="314"/>
      <c r="F23" s="314"/>
      <c r="G23" s="314"/>
      <c r="H23" s="314"/>
      <c r="I23" s="315"/>
      <c r="J23" s="313" t="str">
        <f>A45</f>
        <v>โรงพยาบาลสามโคก  ประจำเดือน  พฤศจิกายน  2568</v>
      </c>
      <c r="K23" s="314"/>
      <c r="L23" s="314"/>
      <c r="M23" s="314"/>
      <c r="N23" s="314"/>
      <c r="O23" s="314"/>
      <c r="P23" s="314"/>
      <c r="Q23" s="314"/>
      <c r="R23" s="315"/>
    </row>
    <row r="24" spans="1:18" ht="17.100000000000001" customHeight="1" x14ac:dyDescent="0.2">
      <c r="A24" s="308" t="s">
        <v>433</v>
      </c>
      <c r="B24" s="307"/>
      <c r="C24" s="307"/>
      <c r="D24" s="307"/>
      <c r="E24" s="307"/>
      <c r="F24" s="307"/>
      <c r="G24" s="307"/>
      <c r="H24" s="307"/>
      <c r="I24" s="309"/>
      <c r="J24" s="308" t="s">
        <v>565</v>
      </c>
      <c r="K24" s="307"/>
      <c r="L24" s="307"/>
      <c r="M24" s="307"/>
      <c r="N24" s="307"/>
      <c r="O24" s="307"/>
      <c r="P24" s="307"/>
      <c r="Q24" s="307"/>
      <c r="R24" s="309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63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307" t="s">
        <v>9</v>
      </c>
      <c r="C26" s="307"/>
      <c r="D26" s="307"/>
      <c r="E26" s="147"/>
      <c r="F26" s="147"/>
      <c r="G26" s="307" t="s">
        <v>10</v>
      </c>
      <c r="H26" s="307"/>
      <c r="I26" s="148"/>
      <c r="J26" s="149"/>
      <c r="K26" s="307" t="s">
        <v>9</v>
      </c>
      <c r="L26" s="307"/>
      <c r="M26" s="307"/>
      <c r="N26" s="147"/>
      <c r="O26" s="147"/>
      <c r="P26" s="307" t="s">
        <v>10</v>
      </c>
      <c r="Q26" s="307"/>
      <c r="R26" s="152"/>
    </row>
    <row r="27" spans="1:18" ht="17.100000000000001" customHeight="1" x14ac:dyDescent="0.2">
      <c r="A27" s="149"/>
      <c r="B27" s="306" t="s">
        <v>3</v>
      </c>
      <c r="C27" s="306"/>
      <c r="D27" s="154">
        <f>ข้าราชการ!E56</f>
        <v>0</v>
      </c>
      <c r="E27" s="154"/>
      <c r="F27" s="155"/>
      <c r="G27" s="150" t="s">
        <v>99</v>
      </c>
      <c r="H27" s="154">
        <v>0</v>
      </c>
      <c r="I27" s="164"/>
      <c r="J27" s="149"/>
      <c r="K27" s="306" t="s">
        <v>3</v>
      </c>
      <c r="L27" s="306"/>
      <c r="M27" s="154">
        <v>0</v>
      </c>
      <c r="N27" s="154"/>
      <c r="O27" s="155"/>
      <c r="P27" s="150" t="s">
        <v>99</v>
      </c>
      <c r="Q27" s="154">
        <v>0</v>
      </c>
      <c r="R27" s="152"/>
    </row>
    <row r="28" spans="1:18" ht="17.100000000000001" customHeight="1" x14ac:dyDescent="0.2">
      <c r="A28" s="149"/>
      <c r="B28" s="306" t="s">
        <v>106</v>
      </c>
      <c r="C28" s="306"/>
      <c r="D28" s="154">
        <v>0</v>
      </c>
      <c r="E28" s="154"/>
      <c r="F28" s="155"/>
      <c r="G28" s="150" t="s">
        <v>53</v>
      </c>
      <c r="H28" s="154">
        <v>0</v>
      </c>
      <c r="I28" s="164"/>
      <c r="J28" s="149"/>
      <c r="K28" s="306" t="s">
        <v>106</v>
      </c>
      <c r="L28" s="306"/>
      <c r="M28" s="154">
        <v>0</v>
      </c>
      <c r="N28" s="154"/>
      <c r="O28" s="155"/>
      <c r="P28" s="150" t="s">
        <v>53</v>
      </c>
      <c r="Q28" s="154">
        <v>0</v>
      </c>
      <c r="R28" s="152"/>
    </row>
    <row r="29" spans="1:18" ht="17.100000000000001" customHeight="1" x14ac:dyDescent="0.2">
      <c r="A29" s="149"/>
      <c r="B29" s="306" t="s">
        <v>107</v>
      </c>
      <c r="C29" s="306"/>
      <c r="D29" s="154">
        <v>0</v>
      </c>
      <c r="E29" s="154"/>
      <c r="F29" s="155"/>
      <c r="G29" s="150" t="s">
        <v>54</v>
      </c>
      <c r="H29" s="154">
        <v>0</v>
      </c>
      <c r="I29" s="164"/>
      <c r="J29" s="149"/>
      <c r="K29" s="317" t="s">
        <v>665</v>
      </c>
      <c r="L29" s="317"/>
      <c r="M29" s="154">
        <f>ข้าราชการ!G70</f>
        <v>0</v>
      </c>
      <c r="N29" s="154"/>
      <c r="O29" s="155"/>
      <c r="P29" s="150" t="s">
        <v>54</v>
      </c>
      <c r="Q29" s="154">
        <v>0</v>
      </c>
      <c r="R29" s="152"/>
    </row>
    <row r="30" spans="1:18" ht="17.100000000000001" customHeight="1" x14ac:dyDescent="0.2">
      <c r="A30" s="149"/>
      <c r="B30" s="306" t="s">
        <v>130</v>
      </c>
      <c r="C30" s="306"/>
      <c r="D30" s="154">
        <f>ข้าราชการ!H58</f>
        <v>0</v>
      </c>
      <c r="E30" s="154"/>
      <c r="F30" s="155"/>
      <c r="G30" s="150" t="s">
        <v>100</v>
      </c>
      <c r="H30" s="154">
        <f>ข้าราชการ!Q58</f>
        <v>0</v>
      </c>
      <c r="I30" s="164"/>
      <c r="J30" s="149"/>
      <c r="K30" s="306" t="s">
        <v>105</v>
      </c>
      <c r="L30" s="306"/>
      <c r="M30" s="154">
        <f>ข้าราชการ!H73</f>
        <v>0</v>
      </c>
      <c r="N30" s="154"/>
      <c r="O30" s="155"/>
      <c r="P30" s="150" t="s">
        <v>100</v>
      </c>
      <c r="Q30" s="154">
        <v>0</v>
      </c>
      <c r="R30" s="152"/>
    </row>
    <row r="31" spans="1:18" ht="17.100000000000001" customHeight="1" x14ac:dyDescent="0.2">
      <c r="A31" s="149"/>
      <c r="B31" s="306" t="s">
        <v>291</v>
      </c>
      <c r="C31" s="306"/>
      <c r="D31" s="154">
        <f>ข้าราชการ!I58</f>
        <v>0</v>
      </c>
      <c r="E31" s="154"/>
      <c r="F31" s="155"/>
      <c r="G31" s="150" t="s">
        <v>55</v>
      </c>
      <c r="H31" s="156">
        <f>ข้าราชการ!R58</f>
        <v>0</v>
      </c>
      <c r="I31" s="165"/>
      <c r="J31" s="149"/>
      <c r="K31" s="306" t="s">
        <v>291</v>
      </c>
      <c r="L31" s="306"/>
      <c r="M31" s="154">
        <f>ข้าราชการ!I71</f>
        <v>0</v>
      </c>
      <c r="N31" s="154"/>
      <c r="O31" s="155"/>
      <c r="P31" s="150" t="s">
        <v>55</v>
      </c>
      <c r="Q31" s="156">
        <v>0</v>
      </c>
      <c r="R31" s="152"/>
    </row>
    <row r="32" spans="1:18" ht="17.100000000000001" customHeight="1" x14ac:dyDescent="0.2">
      <c r="A32" s="149"/>
      <c r="B32" s="306" t="s">
        <v>662</v>
      </c>
      <c r="C32" s="306"/>
      <c r="D32" s="154">
        <f>ข้าราชการ!J58</f>
        <v>0</v>
      </c>
      <c r="E32" s="154"/>
      <c r="F32" s="155"/>
      <c r="G32" s="153" t="s">
        <v>137</v>
      </c>
      <c r="H32" s="156">
        <f>ข้าราชการ!S56</f>
        <v>0</v>
      </c>
      <c r="I32" s="165"/>
      <c r="J32" s="149"/>
      <c r="K32" s="306" t="s">
        <v>662</v>
      </c>
      <c r="L32" s="306"/>
      <c r="M32" s="154">
        <f>ข้าราชการ!J70</f>
        <v>0</v>
      </c>
      <c r="N32" s="154"/>
      <c r="O32" s="155"/>
      <c r="P32" s="153" t="s">
        <v>137</v>
      </c>
      <c r="Q32" s="156">
        <v>0</v>
      </c>
      <c r="R32" s="152"/>
    </row>
    <row r="33" spans="1:18" ht="17.100000000000001" customHeight="1" x14ac:dyDescent="0.2">
      <c r="A33" s="149"/>
      <c r="B33" s="306" t="s">
        <v>5</v>
      </c>
      <c r="C33" s="306"/>
      <c r="D33" s="154">
        <v>0</v>
      </c>
      <c r="E33" s="154"/>
      <c r="F33" s="155"/>
      <c r="G33" s="150" t="s">
        <v>56</v>
      </c>
      <c r="H33" s="156">
        <f>ข้าราชการ!T58</f>
        <v>0</v>
      </c>
      <c r="I33" s="165"/>
      <c r="J33" s="149"/>
      <c r="K33" s="306" t="s">
        <v>5</v>
      </c>
      <c r="L33" s="306"/>
      <c r="M33" s="154">
        <f>ข้าราชการ!T70</f>
        <v>0</v>
      </c>
      <c r="N33" s="154"/>
      <c r="O33" s="155"/>
      <c r="P33" s="150" t="s">
        <v>56</v>
      </c>
      <c r="Q33" s="156">
        <f>ข้าราชการ!T71</f>
        <v>0</v>
      </c>
      <c r="R33" s="152"/>
    </row>
    <row r="34" spans="1:18" ht="17.100000000000001" customHeight="1" x14ac:dyDescent="0.2">
      <c r="A34" s="149"/>
      <c r="B34" s="150" t="s">
        <v>6</v>
      </c>
      <c r="C34" s="150"/>
      <c r="D34" s="154">
        <v>0</v>
      </c>
      <c r="E34" s="154"/>
      <c r="F34" s="155"/>
      <c r="G34" s="150" t="s">
        <v>57</v>
      </c>
      <c r="H34" s="156">
        <f>ข้าราชการ!U56</f>
        <v>0</v>
      </c>
      <c r="I34" s="165"/>
      <c r="J34" s="149"/>
      <c r="K34" s="150" t="s">
        <v>6</v>
      </c>
      <c r="L34" s="150"/>
      <c r="M34" s="154">
        <v>0</v>
      </c>
      <c r="N34" s="154"/>
      <c r="O34" s="155"/>
      <c r="P34" s="150" t="s">
        <v>57</v>
      </c>
      <c r="Q34" s="156">
        <f>ข้าราชการ!U71</f>
        <v>0</v>
      </c>
      <c r="R34" s="152"/>
    </row>
    <row r="35" spans="1:18" ht="17.100000000000001" customHeight="1" x14ac:dyDescent="0.2">
      <c r="A35" s="149"/>
      <c r="B35" s="306" t="s">
        <v>7</v>
      </c>
      <c r="C35" s="306"/>
      <c r="D35" s="154">
        <f>ข้าราชการ!M58</f>
        <v>0</v>
      </c>
      <c r="E35" s="154"/>
      <c r="F35" s="155"/>
      <c r="G35" s="150"/>
      <c r="H35" s="154"/>
      <c r="I35" s="164"/>
      <c r="J35" s="149"/>
      <c r="K35" s="306" t="s">
        <v>7</v>
      </c>
      <c r="L35" s="306"/>
      <c r="M35" s="154">
        <v>0</v>
      </c>
      <c r="N35" s="154"/>
      <c r="O35" s="155"/>
      <c r="P35" s="150"/>
      <c r="Q35" s="154"/>
      <c r="R35" s="152"/>
    </row>
    <row r="36" spans="1:18" ht="17.100000000000001" customHeight="1" x14ac:dyDescent="0.2">
      <c r="A36" s="149"/>
      <c r="B36" s="307" t="s">
        <v>101</v>
      </c>
      <c r="C36" s="307"/>
      <c r="D36" s="157">
        <f>SUM(D27:D35)</f>
        <v>0</v>
      </c>
      <c r="E36" s="157"/>
      <c r="F36" s="157"/>
      <c r="G36" s="147" t="s">
        <v>102</v>
      </c>
      <c r="H36" s="157">
        <f>SUM(H27:H35)</f>
        <v>0</v>
      </c>
      <c r="I36" s="166"/>
      <c r="J36" s="149"/>
      <c r="K36" s="307" t="s">
        <v>101</v>
      </c>
      <c r="L36" s="307"/>
      <c r="M36" s="154">
        <f>SUM(M27:M35)</f>
        <v>0</v>
      </c>
      <c r="N36" s="157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63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B38" s="150"/>
      <c r="C38" s="307" t="str">
        <f>"("&amp;BAHTTEXT(D37)&amp;")"</f>
        <v>(ศูนย์บาทถ้วน)</v>
      </c>
      <c r="D38" s="307"/>
      <c r="E38" s="307"/>
      <c r="F38" s="307"/>
      <c r="G38" s="307"/>
      <c r="H38" s="150"/>
      <c r="I38" s="163"/>
      <c r="J38" s="149"/>
      <c r="K38" s="150"/>
      <c r="L38" s="307" t="str">
        <f>"("&amp;BAHTTEXT(M37)&amp;")"</f>
        <v>(ศูนย์บาทถ้วน)</v>
      </c>
      <c r="M38" s="307"/>
      <c r="N38" s="307"/>
      <c r="O38" s="307"/>
      <c r="P38" s="307"/>
      <c r="Q38" s="150"/>
      <c r="R38" s="152"/>
    </row>
    <row r="39" spans="1:18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63"/>
      <c r="J39" s="149"/>
      <c r="K39" s="150"/>
      <c r="L39" s="147"/>
      <c r="M39" s="147"/>
      <c r="N39" s="147"/>
      <c r="O39" s="147"/>
      <c r="P39" s="147"/>
      <c r="Q39" s="150"/>
      <c r="R39" s="152"/>
    </row>
    <row r="40" spans="1:18" ht="17.100000000000001" customHeight="1" x14ac:dyDescent="0.2">
      <c r="A40" s="149"/>
      <c r="B40" s="150"/>
      <c r="C40" s="150"/>
      <c r="D40" s="150"/>
      <c r="E40" s="150"/>
      <c r="F40" s="150"/>
      <c r="G40" s="150"/>
      <c r="H40" s="150"/>
      <c r="I40" s="163"/>
      <c r="J40" s="149"/>
      <c r="K40" s="150"/>
      <c r="L40" s="150"/>
      <c r="M40" s="150"/>
      <c r="N40" s="150"/>
      <c r="O40" s="150"/>
      <c r="P40" s="150"/>
      <c r="Q40" s="150"/>
      <c r="R40" s="152"/>
    </row>
    <row r="41" spans="1:18" ht="17.100000000000001" customHeight="1" x14ac:dyDescent="0.2">
      <c r="A41" s="149"/>
      <c r="I41" s="152"/>
      <c r="J41" s="149"/>
      <c r="R41" s="152"/>
    </row>
    <row r="42" spans="1:18" ht="17.100000000000001" customHeight="1" x14ac:dyDescent="0.2">
      <c r="A42" s="149"/>
      <c r="I42" s="148"/>
      <c r="J42" s="149"/>
      <c r="R42" s="152"/>
    </row>
    <row r="43" spans="1:18" ht="17.100000000000001" customHeight="1" x14ac:dyDescent="0.2">
      <c r="A43" s="149"/>
      <c r="B43" s="307" t="s">
        <v>315</v>
      </c>
      <c r="C43" s="307"/>
      <c r="D43" s="307"/>
      <c r="E43" s="307"/>
      <c r="F43" s="307"/>
      <c r="G43" s="307"/>
      <c r="H43" s="307"/>
      <c r="I43" s="148"/>
      <c r="J43" s="308" t="s">
        <v>315</v>
      </c>
      <c r="K43" s="307"/>
      <c r="L43" s="307"/>
      <c r="M43" s="307"/>
      <c r="N43" s="307"/>
      <c r="O43" s="307"/>
      <c r="P43" s="307"/>
      <c r="Q43" s="307"/>
      <c r="R43" s="309"/>
    </row>
    <row r="44" spans="1:18" ht="17.100000000000001" customHeight="1" x14ac:dyDescent="0.2">
      <c r="A44" s="161"/>
      <c r="B44" s="311" t="s">
        <v>298</v>
      </c>
      <c r="C44" s="311"/>
      <c r="D44" s="311"/>
      <c r="E44" s="311"/>
      <c r="F44" s="311"/>
      <c r="G44" s="311"/>
      <c r="H44" s="311"/>
      <c r="I44" s="162"/>
      <c r="J44" s="310" t="s">
        <v>298</v>
      </c>
      <c r="K44" s="311"/>
      <c r="L44" s="311"/>
      <c r="M44" s="311"/>
      <c r="N44" s="311"/>
      <c r="O44" s="311"/>
      <c r="P44" s="311"/>
      <c r="Q44" s="311"/>
      <c r="R44" s="312"/>
    </row>
    <row r="45" spans="1:18" ht="17.100000000000001" customHeight="1" x14ac:dyDescent="0.2">
      <c r="A45" s="313" t="str">
        <f>ขร1!J177</f>
        <v>โรงพยาบาลสามโคก  ประจำเดือน  พฤศจิกายน  2568</v>
      </c>
      <c r="B45" s="314"/>
      <c r="C45" s="314"/>
      <c r="D45" s="314"/>
      <c r="E45" s="314"/>
      <c r="F45" s="314"/>
      <c r="G45" s="314"/>
      <c r="H45" s="314"/>
      <c r="I45" s="315"/>
      <c r="J45" s="313" t="str">
        <f>A67</f>
        <v>โรงพยาบาลสามโคก  ประจำเดือน  พฤศจิกายน  2568</v>
      </c>
      <c r="K45" s="314"/>
      <c r="L45" s="314"/>
      <c r="M45" s="314"/>
      <c r="N45" s="314"/>
      <c r="O45" s="314"/>
      <c r="P45" s="314"/>
      <c r="Q45" s="314"/>
      <c r="R45" s="315"/>
    </row>
    <row r="46" spans="1:18" ht="17.100000000000001" customHeight="1" x14ac:dyDescent="0.2">
      <c r="A46" s="308" t="s">
        <v>451</v>
      </c>
      <c r="B46" s="316"/>
      <c r="C46" s="316"/>
      <c r="D46" s="316"/>
      <c r="E46" s="316"/>
      <c r="F46" s="316"/>
      <c r="G46" s="316"/>
      <c r="H46" s="316"/>
      <c r="I46" s="309"/>
      <c r="J46" s="308" t="s">
        <v>588</v>
      </c>
      <c r="K46" s="307"/>
      <c r="L46" s="307"/>
      <c r="M46" s="307"/>
      <c r="N46" s="307"/>
      <c r="O46" s="307"/>
      <c r="P46" s="307"/>
      <c r="Q46" s="307"/>
      <c r="R46" s="309"/>
    </row>
    <row r="47" spans="1:18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63"/>
      <c r="J47" s="149"/>
      <c r="K47" s="153"/>
      <c r="L47" s="188"/>
      <c r="M47" s="187"/>
      <c r="N47" s="187"/>
      <c r="O47" s="187"/>
      <c r="P47" s="188"/>
      <c r="Q47" s="188"/>
      <c r="R47" s="152"/>
    </row>
    <row r="48" spans="1:18" ht="17.100000000000001" customHeight="1" x14ac:dyDescent="0.2">
      <c r="A48" s="149"/>
      <c r="B48" s="307" t="s">
        <v>9</v>
      </c>
      <c r="C48" s="307"/>
      <c r="D48" s="307"/>
      <c r="E48" s="147"/>
      <c r="F48" s="147"/>
      <c r="G48" s="307" t="s">
        <v>10</v>
      </c>
      <c r="H48" s="307"/>
      <c r="I48" s="148"/>
      <c r="J48" s="149"/>
      <c r="K48" s="307" t="s">
        <v>9</v>
      </c>
      <c r="L48" s="307"/>
      <c r="M48" s="307"/>
      <c r="N48" s="187"/>
      <c r="O48" s="187"/>
      <c r="P48" s="307" t="s">
        <v>10</v>
      </c>
      <c r="Q48" s="307"/>
      <c r="R48" s="152"/>
    </row>
    <row r="49" spans="1:18" ht="17.100000000000001" customHeight="1" x14ac:dyDescent="0.2">
      <c r="A49" s="149"/>
      <c r="B49" s="306" t="s">
        <v>3</v>
      </c>
      <c r="C49" s="306"/>
      <c r="D49" s="154">
        <v>0</v>
      </c>
      <c r="E49" s="154"/>
      <c r="F49" s="155"/>
      <c r="G49" s="150" t="s">
        <v>99</v>
      </c>
      <c r="H49" s="154">
        <f>ข้าราชการ!N142</f>
        <v>0</v>
      </c>
      <c r="I49" s="164"/>
      <c r="J49" s="149"/>
      <c r="K49" s="306" t="s">
        <v>3</v>
      </c>
      <c r="L49" s="306"/>
      <c r="M49" s="154">
        <v>0</v>
      </c>
      <c r="N49" s="154"/>
      <c r="O49" s="155"/>
      <c r="P49" s="188" t="s">
        <v>99</v>
      </c>
      <c r="Q49" s="154">
        <v>0</v>
      </c>
      <c r="R49" s="152"/>
    </row>
    <row r="50" spans="1:18" ht="17.100000000000001" customHeight="1" x14ac:dyDescent="0.2">
      <c r="A50" s="149"/>
      <c r="B50" s="306" t="s">
        <v>106</v>
      </c>
      <c r="C50" s="306"/>
      <c r="D50" s="154">
        <v>0</v>
      </c>
      <c r="E50" s="154"/>
      <c r="F50" s="155"/>
      <c r="G50" s="150" t="s">
        <v>53</v>
      </c>
      <c r="H50" s="154">
        <f>ข้าราชการ!O142</f>
        <v>0</v>
      </c>
      <c r="I50" s="164"/>
      <c r="J50" s="149"/>
      <c r="K50" s="306" t="s">
        <v>106</v>
      </c>
      <c r="L50" s="306"/>
      <c r="M50" s="154">
        <v>0</v>
      </c>
      <c r="N50" s="154"/>
      <c r="O50" s="155"/>
      <c r="P50" s="188" t="s">
        <v>53</v>
      </c>
      <c r="Q50" s="154">
        <v>0</v>
      </c>
      <c r="R50" s="152"/>
    </row>
    <row r="51" spans="1:18" ht="17.100000000000001" customHeight="1" x14ac:dyDescent="0.2">
      <c r="A51" s="149"/>
      <c r="B51" s="306" t="s">
        <v>107</v>
      </c>
      <c r="C51" s="306"/>
      <c r="D51" s="154">
        <f>ข้าราชการ!G142</f>
        <v>0</v>
      </c>
      <c r="E51" s="154"/>
      <c r="F51" s="155"/>
      <c r="G51" s="150" t="s">
        <v>54</v>
      </c>
      <c r="H51" s="154">
        <f>ข้าราชการ!P142</f>
        <v>0</v>
      </c>
      <c r="I51" s="164"/>
      <c r="J51" s="149"/>
      <c r="K51" s="317" t="s">
        <v>665</v>
      </c>
      <c r="L51" s="317"/>
      <c r="M51" s="154">
        <f>ข้าราชการ!G71</f>
        <v>0</v>
      </c>
      <c r="N51" s="154"/>
      <c r="O51" s="155"/>
      <c r="P51" s="188" t="s">
        <v>54</v>
      </c>
      <c r="Q51" s="154">
        <v>0</v>
      </c>
      <c r="R51" s="152"/>
    </row>
    <row r="52" spans="1:18" ht="17.100000000000001" customHeight="1" x14ac:dyDescent="0.2">
      <c r="A52" s="149"/>
      <c r="B52" s="306" t="s">
        <v>130</v>
      </c>
      <c r="C52" s="306"/>
      <c r="D52" s="154">
        <f>ข้าราชการ!H59</f>
        <v>0</v>
      </c>
      <c r="E52" s="154"/>
      <c r="F52" s="155"/>
      <c r="G52" s="150" t="s">
        <v>100</v>
      </c>
      <c r="H52" s="154">
        <f>ข้าราชการ!Q142</f>
        <v>0</v>
      </c>
      <c r="I52" s="164"/>
      <c r="J52" s="149"/>
      <c r="K52" s="306" t="s">
        <v>105</v>
      </c>
      <c r="L52" s="306"/>
      <c r="M52" s="154">
        <f>ข้าราชการ!H74</f>
        <v>0</v>
      </c>
      <c r="N52" s="154"/>
      <c r="O52" s="155"/>
      <c r="P52" s="188" t="s">
        <v>100</v>
      </c>
      <c r="Q52" s="154">
        <v>0</v>
      </c>
      <c r="R52" s="152"/>
    </row>
    <row r="53" spans="1:18" ht="17.100000000000001" customHeight="1" x14ac:dyDescent="0.2">
      <c r="A53" s="149"/>
      <c r="B53" s="306" t="s">
        <v>291</v>
      </c>
      <c r="C53" s="306"/>
      <c r="D53" s="154">
        <f>ข้าราชการ!I59</f>
        <v>0</v>
      </c>
      <c r="E53" s="154"/>
      <c r="F53" s="155"/>
      <c r="G53" s="150" t="s">
        <v>55</v>
      </c>
      <c r="H53" s="156">
        <f>ข้าราชการ!R59</f>
        <v>0</v>
      </c>
      <c r="I53" s="165"/>
      <c r="J53" s="149"/>
      <c r="K53" s="306" t="s">
        <v>291</v>
      </c>
      <c r="L53" s="306"/>
      <c r="M53" s="154">
        <f>ข้าราชการ!I72</f>
        <v>0</v>
      </c>
      <c r="N53" s="154"/>
      <c r="O53" s="155"/>
      <c r="P53" s="188" t="s">
        <v>55</v>
      </c>
      <c r="Q53" s="156">
        <v>0</v>
      </c>
      <c r="R53" s="152"/>
    </row>
    <row r="54" spans="1:18" ht="17.100000000000001" customHeight="1" x14ac:dyDescent="0.2">
      <c r="A54" s="149"/>
      <c r="B54" s="306" t="s">
        <v>662</v>
      </c>
      <c r="C54" s="306"/>
      <c r="D54" s="154">
        <f>ข้าราชการ!J59</f>
        <v>0</v>
      </c>
      <c r="E54" s="154"/>
      <c r="F54" s="155"/>
      <c r="G54" s="153" t="s">
        <v>137</v>
      </c>
      <c r="H54" s="156">
        <f>ข้าราชการ!S59</f>
        <v>0</v>
      </c>
      <c r="I54" s="165"/>
      <c r="J54" s="149"/>
      <c r="K54" s="306" t="s">
        <v>662</v>
      </c>
      <c r="L54" s="306"/>
      <c r="M54" s="154">
        <f>ข้าราชการ!J71</f>
        <v>0</v>
      </c>
      <c r="N54" s="154"/>
      <c r="O54" s="155"/>
      <c r="P54" s="153" t="s">
        <v>137</v>
      </c>
      <c r="Q54" s="156">
        <v>0</v>
      </c>
      <c r="R54" s="152"/>
    </row>
    <row r="55" spans="1:18" ht="17.100000000000001" customHeight="1" x14ac:dyDescent="0.2">
      <c r="A55" s="149"/>
      <c r="B55" s="306" t="s">
        <v>5</v>
      </c>
      <c r="C55" s="306"/>
      <c r="D55" s="154">
        <f>ข้าราชการ!K57</f>
        <v>0</v>
      </c>
      <c r="E55" s="154"/>
      <c r="F55" s="155"/>
      <c r="G55" s="150" t="s">
        <v>56</v>
      </c>
      <c r="H55" s="156">
        <f>ข้าราชการ!T59</f>
        <v>0</v>
      </c>
      <c r="I55" s="165"/>
      <c r="J55" s="149"/>
      <c r="K55" s="306" t="s">
        <v>5</v>
      </c>
      <c r="L55" s="306"/>
      <c r="M55" s="154">
        <f>ข้าราชการ!T106</f>
        <v>0</v>
      </c>
      <c r="N55" s="154"/>
      <c r="O55" s="155"/>
      <c r="P55" s="188" t="s">
        <v>56</v>
      </c>
      <c r="Q55" s="156">
        <f>ข้าราชการ!T72</f>
        <v>0</v>
      </c>
      <c r="R55" s="152"/>
    </row>
    <row r="56" spans="1:18" ht="17.100000000000001" customHeight="1" x14ac:dyDescent="0.2">
      <c r="A56" s="149"/>
      <c r="B56" s="150" t="s">
        <v>6</v>
      </c>
      <c r="C56" s="150"/>
      <c r="D56" s="154">
        <f>ข้าราชการ!L59</f>
        <v>0</v>
      </c>
      <c r="E56" s="154"/>
      <c r="F56" s="155"/>
      <c r="G56" s="150" t="s">
        <v>57</v>
      </c>
      <c r="H56" s="156">
        <f>ข้าราชการ!U59</f>
        <v>0</v>
      </c>
      <c r="I56" s="165"/>
      <c r="J56" s="149"/>
      <c r="K56" s="188" t="s">
        <v>6</v>
      </c>
      <c r="L56" s="188"/>
      <c r="M56" s="154">
        <v>0</v>
      </c>
      <c r="N56" s="154"/>
      <c r="O56" s="155"/>
      <c r="P56" s="188" t="s">
        <v>57</v>
      </c>
      <c r="Q56" s="156">
        <f>ข้าราชการ!U72</f>
        <v>0</v>
      </c>
      <c r="R56" s="152"/>
    </row>
    <row r="57" spans="1:18" ht="17.100000000000001" customHeight="1" x14ac:dyDescent="0.2">
      <c r="A57" s="149"/>
      <c r="B57" s="306" t="s">
        <v>7</v>
      </c>
      <c r="C57" s="306"/>
      <c r="D57" s="154">
        <f>ข้าราชการ!M59</f>
        <v>0</v>
      </c>
      <c r="E57" s="154"/>
      <c r="F57" s="155"/>
      <c r="G57" s="150"/>
      <c r="H57" s="154"/>
      <c r="I57" s="164"/>
      <c r="J57" s="149"/>
      <c r="K57" s="306" t="s">
        <v>7</v>
      </c>
      <c r="L57" s="306"/>
      <c r="M57" s="154">
        <v>0</v>
      </c>
      <c r="N57" s="154"/>
      <c r="O57" s="155"/>
      <c r="P57" s="188"/>
      <c r="Q57" s="154"/>
      <c r="R57" s="152"/>
    </row>
    <row r="58" spans="1:18" ht="17.100000000000001" customHeight="1" x14ac:dyDescent="0.2">
      <c r="A58" s="149"/>
      <c r="B58" s="307" t="s">
        <v>101</v>
      </c>
      <c r="C58" s="307"/>
      <c r="D58" s="157">
        <f>SUM(D49:D57)</f>
        <v>0</v>
      </c>
      <c r="E58" s="157"/>
      <c r="F58" s="157"/>
      <c r="G58" s="147" t="s">
        <v>102</v>
      </c>
      <c r="H58" s="157">
        <f>SUM(H49:H57)</f>
        <v>0</v>
      </c>
      <c r="I58" s="166"/>
      <c r="J58" s="149"/>
      <c r="K58" s="307" t="s">
        <v>101</v>
      </c>
      <c r="L58" s="307"/>
      <c r="M58" s="154">
        <f>SUM(M49:M57)</f>
        <v>0</v>
      </c>
      <c r="N58" s="157"/>
      <c r="O58" s="157"/>
      <c r="P58" s="187" t="s">
        <v>102</v>
      </c>
      <c r="Q58" s="157">
        <f>SUM(Q49:Q57)</f>
        <v>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63"/>
      <c r="J59" s="149"/>
      <c r="K59" s="188"/>
      <c r="L59" s="187" t="s">
        <v>103</v>
      </c>
      <c r="M59" s="157">
        <f>M58-Q58</f>
        <v>0</v>
      </c>
      <c r="N59" s="157"/>
      <c r="O59" s="158" t="s">
        <v>104</v>
      </c>
      <c r="Q59" s="188"/>
      <c r="R59" s="152"/>
    </row>
    <row r="60" spans="1:18" ht="17.100000000000001" customHeight="1" x14ac:dyDescent="0.2">
      <c r="A60" s="149"/>
      <c r="B60" s="150"/>
      <c r="C60" s="307" t="str">
        <f>"("&amp;BAHTTEXT(D59)&amp;")"</f>
        <v>(ศูนย์บาทถ้วน)</v>
      </c>
      <c r="D60" s="307"/>
      <c r="E60" s="307"/>
      <c r="F60" s="307"/>
      <c r="G60" s="307"/>
      <c r="H60" s="150"/>
      <c r="I60" s="163"/>
      <c r="J60" s="149"/>
      <c r="K60" s="188"/>
      <c r="L60" s="307" t="str">
        <f>"("&amp;BAHTTEXT(M59)&amp;")"</f>
        <v>(ศูนย์บาทถ้วน)</v>
      </c>
      <c r="M60" s="307"/>
      <c r="N60" s="307"/>
      <c r="O60" s="307"/>
      <c r="P60" s="307"/>
      <c r="Q60" s="188"/>
      <c r="R60" s="152"/>
    </row>
    <row r="61" spans="1:18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63"/>
      <c r="J61" s="149"/>
      <c r="K61" s="188"/>
      <c r="L61" s="187"/>
      <c r="M61" s="187"/>
      <c r="N61" s="187"/>
      <c r="O61" s="187"/>
      <c r="P61" s="187"/>
      <c r="Q61" s="188"/>
      <c r="R61" s="152"/>
    </row>
    <row r="62" spans="1:18" ht="17.100000000000001" customHeight="1" x14ac:dyDescent="0.2">
      <c r="A62" s="149"/>
      <c r="B62" s="150"/>
      <c r="C62" s="150"/>
      <c r="D62" s="150"/>
      <c r="E62" s="150"/>
      <c r="F62" s="150"/>
      <c r="G62" s="150"/>
      <c r="H62" s="150"/>
      <c r="I62" s="163"/>
      <c r="J62" s="149"/>
      <c r="K62" s="188"/>
      <c r="L62" s="188"/>
      <c r="M62" s="188"/>
      <c r="N62" s="188"/>
      <c r="O62" s="188"/>
      <c r="P62" s="188"/>
      <c r="Q62" s="188"/>
      <c r="R62" s="152"/>
    </row>
    <row r="63" spans="1:18" ht="17.100000000000001" customHeight="1" x14ac:dyDescent="0.2">
      <c r="A63" s="149"/>
      <c r="I63" s="152"/>
      <c r="J63" s="149"/>
      <c r="R63" s="152"/>
    </row>
    <row r="64" spans="1:18" ht="17.100000000000001" customHeight="1" x14ac:dyDescent="0.2">
      <c r="A64" s="149"/>
      <c r="I64" s="148"/>
      <c r="J64" s="149"/>
      <c r="R64" s="152"/>
    </row>
    <row r="65" spans="1:18" ht="17.100000000000001" customHeight="1" x14ac:dyDescent="0.2">
      <c r="A65" s="149"/>
      <c r="B65" s="307" t="s">
        <v>315</v>
      </c>
      <c r="C65" s="307"/>
      <c r="D65" s="307"/>
      <c r="E65" s="307"/>
      <c r="F65" s="307"/>
      <c r="G65" s="307"/>
      <c r="H65" s="307"/>
      <c r="I65" s="148"/>
      <c r="J65" s="308" t="s">
        <v>315</v>
      </c>
      <c r="K65" s="307"/>
      <c r="L65" s="307"/>
      <c r="M65" s="307"/>
      <c r="N65" s="307"/>
      <c r="O65" s="307"/>
      <c r="P65" s="307"/>
      <c r="Q65" s="307"/>
      <c r="R65" s="309"/>
    </row>
    <row r="66" spans="1:18" ht="17.100000000000001" customHeight="1" x14ac:dyDescent="0.2">
      <c r="A66" s="161"/>
      <c r="B66" s="311" t="s">
        <v>298</v>
      </c>
      <c r="C66" s="311"/>
      <c r="D66" s="311"/>
      <c r="E66" s="311"/>
      <c r="F66" s="311"/>
      <c r="G66" s="311"/>
      <c r="H66" s="311"/>
      <c r="I66" s="160"/>
      <c r="J66" s="310" t="s">
        <v>298</v>
      </c>
      <c r="K66" s="311"/>
      <c r="L66" s="311"/>
      <c r="M66" s="311"/>
      <c r="N66" s="311"/>
      <c r="O66" s="311"/>
      <c r="P66" s="311"/>
      <c r="Q66" s="311"/>
      <c r="R66" s="312"/>
    </row>
    <row r="67" spans="1:18" ht="17.100000000000001" customHeight="1" x14ac:dyDescent="0.2">
      <c r="A67" s="313" t="str">
        <f>ขร1!J199</f>
        <v>โรงพยาบาลสามโคก  ประจำเดือน  พฤศจิกายน  2568</v>
      </c>
      <c r="B67" s="314"/>
      <c r="C67" s="314"/>
      <c r="D67" s="314"/>
      <c r="E67" s="314"/>
      <c r="F67" s="314"/>
      <c r="G67" s="314"/>
      <c r="H67" s="314"/>
      <c r="I67" s="315"/>
      <c r="J67" s="313" t="str">
        <f>A67</f>
        <v>โรงพยาบาลสามโคก  ประจำเดือน  พฤศจิกายน  2568</v>
      </c>
      <c r="K67" s="314"/>
      <c r="L67" s="314"/>
      <c r="M67" s="314"/>
      <c r="N67" s="314"/>
      <c r="O67" s="314"/>
      <c r="P67" s="314"/>
      <c r="Q67" s="314"/>
      <c r="R67" s="315"/>
    </row>
    <row r="68" spans="1:18" ht="17.100000000000001" customHeight="1" x14ac:dyDescent="0.2">
      <c r="A68" s="308" t="s">
        <v>476</v>
      </c>
      <c r="B68" s="316"/>
      <c r="C68" s="316"/>
      <c r="D68" s="316"/>
      <c r="E68" s="316"/>
      <c r="F68" s="316"/>
      <c r="G68" s="316"/>
      <c r="H68" s="316"/>
      <c r="I68" s="309"/>
      <c r="J68" s="308" t="s">
        <v>589</v>
      </c>
      <c r="K68" s="307"/>
      <c r="L68" s="307"/>
      <c r="M68" s="307"/>
      <c r="N68" s="307"/>
      <c r="O68" s="307"/>
      <c r="P68" s="307"/>
      <c r="Q68" s="307"/>
      <c r="R68" s="309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63"/>
      <c r="J69" s="149"/>
      <c r="K69" s="153"/>
      <c r="L69" s="150"/>
      <c r="M69" s="147"/>
      <c r="N69" s="147"/>
      <c r="O69" s="147"/>
      <c r="P69" s="150"/>
      <c r="Q69" s="150"/>
      <c r="R69" s="152"/>
    </row>
    <row r="70" spans="1:18" ht="17.100000000000001" customHeight="1" x14ac:dyDescent="0.2">
      <c r="A70" s="149"/>
      <c r="B70" s="307" t="s">
        <v>9</v>
      </c>
      <c r="C70" s="307"/>
      <c r="D70" s="307"/>
      <c r="E70" s="147"/>
      <c r="F70" s="147"/>
      <c r="G70" s="307" t="s">
        <v>10</v>
      </c>
      <c r="H70" s="307"/>
      <c r="I70" s="148"/>
      <c r="J70" s="149"/>
      <c r="K70" s="307" t="s">
        <v>9</v>
      </c>
      <c r="L70" s="307"/>
      <c r="M70" s="307"/>
      <c r="N70" s="147"/>
      <c r="O70" s="147"/>
      <c r="P70" s="307" t="s">
        <v>10</v>
      </c>
      <c r="Q70" s="307"/>
      <c r="R70" s="152"/>
    </row>
    <row r="71" spans="1:18" ht="17.100000000000001" customHeight="1" x14ac:dyDescent="0.2">
      <c r="A71" s="149"/>
      <c r="B71" s="306" t="s">
        <v>3</v>
      </c>
      <c r="C71" s="306"/>
      <c r="D71" s="154">
        <v>0</v>
      </c>
      <c r="E71" s="154"/>
      <c r="F71" s="155"/>
      <c r="G71" s="150" t="s">
        <v>99</v>
      </c>
      <c r="H71" s="154">
        <f>ข้าราชการ!N164</f>
        <v>0</v>
      </c>
      <c r="I71" s="164"/>
      <c r="J71" s="149"/>
      <c r="K71" s="306" t="s">
        <v>3</v>
      </c>
      <c r="L71" s="306"/>
      <c r="M71" s="154">
        <v>0</v>
      </c>
      <c r="N71" s="154"/>
      <c r="O71" s="155"/>
      <c r="P71" s="150" t="s">
        <v>99</v>
      </c>
      <c r="Q71" s="154">
        <v>0</v>
      </c>
      <c r="R71" s="152"/>
    </row>
    <row r="72" spans="1:18" ht="17.100000000000001" customHeight="1" x14ac:dyDescent="0.2">
      <c r="A72" s="149"/>
      <c r="B72" s="306" t="s">
        <v>106</v>
      </c>
      <c r="C72" s="306"/>
      <c r="D72" s="154">
        <v>0</v>
      </c>
      <c r="E72" s="154"/>
      <c r="F72" s="155"/>
      <c r="G72" s="150" t="s">
        <v>53</v>
      </c>
      <c r="H72" s="154">
        <f>ข้าราชการ!O164</f>
        <v>0</v>
      </c>
      <c r="I72" s="164"/>
      <c r="J72" s="149"/>
      <c r="K72" s="306" t="s">
        <v>106</v>
      </c>
      <c r="L72" s="306"/>
      <c r="M72" s="154">
        <v>0</v>
      </c>
      <c r="N72" s="154"/>
      <c r="O72" s="155"/>
      <c r="P72" s="150" t="s">
        <v>53</v>
      </c>
      <c r="Q72" s="154">
        <v>0</v>
      </c>
      <c r="R72" s="152"/>
    </row>
    <row r="73" spans="1:18" ht="17.100000000000001" customHeight="1" x14ac:dyDescent="0.2">
      <c r="A73" s="149"/>
      <c r="B73" s="306" t="s">
        <v>107</v>
      </c>
      <c r="C73" s="306"/>
      <c r="D73" s="154">
        <f>ข้าราชการ!G60</f>
        <v>0</v>
      </c>
      <c r="E73" s="154"/>
      <c r="F73" s="155"/>
      <c r="G73" s="150" t="s">
        <v>54</v>
      </c>
      <c r="H73" s="154">
        <f>ข้าราชการ!P164</f>
        <v>0</v>
      </c>
      <c r="I73" s="164"/>
      <c r="J73" s="149"/>
      <c r="K73" s="317" t="s">
        <v>665</v>
      </c>
      <c r="L73" s="317"/>
      <c r="M73" s="154">
        <f>ข้าราชการ!G72</f>
        <v>0</v>
      </c>
      <c r="N73" s="154"/>
      <c r="O73" s="155"/>
      <c r="P73" s="150" t="s">
        <v>54</v>
      </c>
      <c r="Q73" s="154">
        <v>0</v>
      </c>
      <c r="R73" s="152"/>
    </row>
    <row r="74" spans="1:18" ht="17.100000000000001" customHeight="1" x14ac:dyDescent="0.2">
      <c r="A74" s="149"/>
      <c r="B74" s="306" t="s">
        <v>105</v>
      </c>
      <c r="C74" s="306"/>
      <c r="D74" s="154">
        <f>ข้าราชการ!H60</f>
        <v>0</v>
      </c>
      <c r="E74" s="154"/>
      <c r="F74" s="155"/>
      <c r="G74" s="150" t="s">
        <v>100</v>
      </c>
      <c r="H74" s="154">
        <f>ข้าราชการ!Q60</f>
        <v>0</v>
      </c>
      <c r="I74" s="164"/>
      <c r="J74" s="149"/>
      <c r="K74" s="306" t="s">
        <v>105</v>
      </c>
      <c r="L74" s="306"/>
      <c r="M74" s="154">
        <f>ข้าราชการ!H75</f>
        <v>0</v>
      </c>
      <c r="N74" s="154"/>
      <c r="O74" s="155"/>
      <c r="P74" s="150" t="s">
        <v>100</v>
      </c>
      <c r="Q74" s="154">
        <v>0</v>
      </c>
      <c r="R74" s="152"/>
    </row>
    <row r="75" spans="1:18" ht="16.5" customHeight="1" x14ac:dyDescent="0.2">
      <c r="A75" s="149"/>
      <c r="B75" s="306" t="s">
        <v>291</v>
      </c>
      <c r="C75" s="306"/>
      <c r="D75" s="154">
        <f>ข้าราชการ!I60</f>
        <v>0</v>
      </c>
      <c r="E75" s="154"/>
      <c r="F75" s="155"/>
      <c r="G75" s="150" t="s">
        <v>55</v>
      </c>
      <c r="H75" s="156">
        <f>ข้าราชการ!R60</f>
        <v>0</v>
      </c>
      <c r="I75" s="165"/>
      <c r="J75" s="149"/>
      <c r="K75" s="306" t="s">
        <v>291</v>
      </c>
      <c r="L75" s="306"/>
      <c r="M75" s="154">
        <f>ข้าราชการ!I73</f>
        <v>0</v>
      </c>
      <c r="N75" s="154"/>
      <c r="O75" s="155"/>
      <c r="P75" s="150" t="s">
        <v>377</v>
      </c>
      <c r="Q75" s="156">
        <v>0</v>
      </c>
      <c r="R75" s="152"/>
    </row>
    <row r="76" spans="1:18" ht="17.100000000000001" customHeight="1" x14ac:dyDescent="0.2">
      <c r="A76" s="149"/>
      <c r="B76" s="306" t="s">
        <v>662</v>
      </c>
      <c r="C76" s="306"/>
      <c r="D76" s="154">
        <f>ข้าราชการ!J60</f>
        <v>0</v>
      </c>
      <c r="E76" s="154"/>
      <c r="F76" s="155"/>
      <c r="G76" s="153" t="s">
        <v>137</v>
      </c>
      <c r="H76" s="156">
        <f>ข้าราชการ!S60</f>
        <v>0</v>
      </c>
      <c r="I76" s="165"/>
      <c r="J76" s="149"/>
      <c r="K76" s="306" t="s">
        <v>662</v>
      </c>
      <c r="L76" s="306"/>
      <c r="M76" s="154">
        <f>ข้าราชการ!J72</f>
        <v>0</v>
      </c>
      <c r="N76" s="154"/>
      <c r="O76" s="155"/>
      <c r="P76" s="153" t="s">
        <v>137</v>
      </c>
      <c r="Q76" s="156">
        <v>0</v>
      </c>
      <c r="R76" s="152"/>
    </row>
    <row r="77" spans="1:18" ht="17.100000000000001" customHeight="1" x14ac:dyDescent="0.2">
      <c r="A77" s="149"/>
      <c r="B77" s="306" t="s">
        <v>5</v>
      </c>
      <c r="C77" s="306"/>
      <c r="D77" s="154">
        <v>0</v>
      </c>
      <c r="E77" s="154"/>
      <c r="F77" s="155"/>
      <c r="G77" s="150" t="s">
        <v>56</v>
      </c>
      <c r="H77" s="156">
        <f>ข้าราชการ!T60</f>
        <v>0</v>
      </c>
      <c r="I77" s="165"/>
      <c r="J77" s="149"/>
      <c r="K77" s="306" t="s">
        <v>5</v>
      </c>
      <c r="L77" s="306"/>
      <c r="M77" s="154">
        <f>ข้าราชการ!T106</f>
        <v>0</v>
      </c>
      <c r="N77" s="154"/>
      <c r="O77" s="155"/>
      <c r="P77" s="150" t="s">
        <v>56</v>
      </c>
      <c r="Q77" s="156">
        <v>0</v>
      </c>
      <c r="R77" s="152"/>
    </row>
    <row r="78" spans="1:18" ht="17.100000000000001" customHeight="1" x14ac:dyDescent="0.2">
      <c r="A78" s="149"/>
      <c r="B78" s="150" t="s">
        <v>6</v>
      </c>
      <c r="C78" s="150"/>
      <c r="D78" s="154">
        <f>ข้าราชการ!L58</f>
        <v>0</v>
      </c>
      <c r="E78" s="154"/>
      <c r="F78" s="155"/>
      <c r="G78" s="150" t="s">
        <v>57</v>
      </c>
      <c r="H78" s="156">
        <f>ข้าราชการ!U60</f>
        <v>0</v>
      </c>
      <c r="I78" s="165"/>
      <c r="J78" s="149"/>
      <c r="K78" s="150" t="s">
        <v>6</v>
      </c>
      <c r="L78" s="150"/>
      <c r="M78" s="154">
        <v>0</v>
      </c>
      <c r="N78" s="154"/>
      <c r="O78" s="155"/>
      <c r="P78" s="150" t="s">
        <v>57</v>
      </c>
      <c r="Q78" s="156">
        <v>0</v>
      </c>
      <c r="R78" s="152"/>
    </row>
    <row r="79" spans="1:18" ht="17.100000000000001" customHeight="1" x14ac:dyDescent="0.2">
      <c r="A79" s="149"/>
      <c r="B79" s="306" t="s">
        <v>7</v>
      </c>
      <c r="C79" s="306"/>
      <c r="D79" s="154">
        <v>0</v>
      </c>
      <c r="E79" s="154"/>
      <c r="F79" s="155"/>
      <c r="G79" s="150"/>
      <c r="H79" s="154"/>
      <c r="I79" s="164"/>
      <c r="J79" s="149"/>
      <c r="K79" s="306" t="s">
        <v>7</v>
      </c>
      <c r="L79" s="306"/>
      <c r="M79" s="154">
        <v>0</v>
      </c>
      <c r="N79" s="154"/>
      <c r="O79" s="155"/>
      <c r="P79" s="150"/>
      <c r="Q79" s="154"/>
      <c r="R79" s="152"/>
    </row>
    <row r="80" spans="1:18" ht="17.100000000000001" customHeight="1" x14ac:dyDescent="0.2">
      <c r="A80" s="149"/>
      <c r="B80" s="307" t="s">
        <v>101</v>
      </c>
      <c r="C80" s="307"/>
      <c r="D80" s="157">
        <f>SUM(D71:D79)</f>
        <v>0</v>
      </c>
      <c r="E80" s="157"/>
      <c r="F80" s="157"/>
      <c r="G80" s="147" t="s">
        <v>102</v>
      </c>
      <c r="H80" s="157">
        <f>SUM(H71:H79)</f>
        <v>0</v>
      </c>
      <c r="I80" s="166"/>
      <c r="J80" s="149"/>
      <c r="K80" s="307" t="s">
        <v>101</v>
      </c>
      <c r="L80" s="307"/>
      <c r="M80" s="154">
        <f t="shared" ref="M80" si="0">SUM(M71:M79)</f>
        <v>0</v>
      </c>
      <c r="N80" s="157"/>
      <c r="O80" s="157"/>
      <c r="P80" s="147" t="s">
        <v>102</v>
      </c>
      <c r="Q80" s="157">
        <f t="shared" ref="Q80" si="1">SUM(Q71:Q79)</f>
        <v>0</v>
      </c>
      <c r="R80" s="152"/>
    </row>
    <row r="81" spans="1:18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63"/>
      <c r="J81" s="149"/>
      <c r="K81" s="150"/>
      <c r="L81" s="147" t="s">
        <v>103</v>
      </c>
      <c r="M81" s="157">
        <f t="shared" ref="M81" si="2">M80-Q80</f>
        <v>0</v>
      </c>
      <c r="N81" s="157"/>
      <c r="O81" s="158" t="s">
        <v>104</v>
      </c>
      <c r="Q81" s="150"/>
      <c r="R81" s="152"/>
    </row>
    <row r="82" spans="1:18" ht="17.100000000000001" customHeight="1" x14ac:dyDescent="0.2">
      <c r="A82" s="149"/>
      <c r="B82" s="150"/>
      <c r="C82" s="307" t="str">
        <f>"("&amp;BAHTTEXT(D81)&amp;")"</f>
        <v>(ศูนย์บาทถ้วน)</v>
      </c>
      <c r="D82" s="307"/>
      <c r="E82" s="307"/>
      <c r="F82" s="307"/>
      <c r="G82" s="307"/>
      <c r="H82" s="150"/>
      <c r="I82" s="163"/>
      <c r="J82" s="149"/>
      <c r="K82" s="150"/>
      <c r="L82" s="307" t="str">
        <f t="shared" ref="L82" si="3">"("&amp;BAHTTEXT(M81)&amp;")"</f>
        <v>(ศูนย์บาทถ้วน)</v>
      </c>
      <c r="M82" s="307"/>
      <c r="N82" s="307"/>
      <c r="O82" s="307"/>
      <c r="P82" s="307"/>
      <c r="Q82" s="150"/>
      <c r="R82" s="152"/>
    </row>
    <row r="83" spans="1:18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63"/>
      <c r="J83" s="149"/>
      <c r="K83" s="150"/>
      <c r="L83" s="147"/>
      <c r="M83" s="147"/>
      <c r="N83" s="147"/>
      <c r="O83" s="147"/>
      <c r="P83" s="147"/>
      <c r="Q83" s="150"/>
      <c r="R83" s="152"/>
    </row>
    <row r="84" spans="1:18" ht="17.100000000000001" customHeight="1" x14ac:dyDescent="0.2">
      <c r="A84" s="149"/>
      <c r="B84" s="150"/>
      <c r="C84" s="150"/>
      <c r="D84" s="150"/>
      <c r="E84" s="150"/>
      <c r="F84" s="150"/>
      <c r="G84" s="150"/>
      <c r="H84" s="150"/>
      <c r="I84" s="163"/>
      <c r="J84" s="149"/>
      <c r="K84" s="150"/>
      <c r="L84" s="150"/>
      <c r="M84" s="150"/>
      <c r="N84" s="150"/>
      <c r="O84" s="150"/>
      <c r="P84" s="150"/>
      <c r="Q84" s="150"/>
      <c r="R84" s="152"/>
    </row>
    <row r="85" spans="1:18" ht="17.100000000000001" customHeight="1" x14ac:dyDescent="0.2">
      <c r="A85" s="149"/>
      <c r="I85" s="152"/>
      <c r="J85" s="149"/>
      <c r="R85" s="152"/>
    </row>
    <row r="86" spans="1:18" ht="17.100000000000001" customHeight="1" x14ac:dyDescent="0.2">
      <c r="A86" s="149"/>
      <c r="I86" s="148"/>
      <c r="J86" s="149"/>
      <c r="R86" s="152"/>
    </row>
    <row r="87" spans="1:18" ht="17.100000000000001" customHeight="1" x14ac:dyDescent="0.2">
      <c r="A87" s="149"/>
      <c r="B87" s="307" t="s">
        <v>315</v>
      </c>
      <c r="C87" s="307"/>
      <c r="D87" s="307"/>
      <c r="E87" s="307"/>
      <c r="F87" s="307"/>
      <c r="G87" s="307"/>
      <c r="H87" s="307"/>
      <c r="I87" s="148"/>
      <c r="J87" s="308" t="s">
        <v>315</v>
      </c>
      <c r="K87" s="307"/>
      <c r="L87" s="307"/>
      <c r="M87" s="307"/>
      <c r="N87" s="307"/>
      <c r="O87" s="307"/>
      <c r="P87" s="307"/>
      <c r="Q87" s="307"/>
      <c r="R87" s="309"/>
    </row>
    <row r="88" spans="1:18" ht="17.100000000000001" customHeight="1" x14ac:dyDescent="0.2">
      <c r="A88" s="161"/>
      <c r="B88" s="311" t="s">
        <v>298</v>
      </c>
      <c r="C88" s="311"/>
      <c r="D88" s="311"/>
      <c r="E88" s="311"/>
      <c r="F88" s="311"/>
      <c r="G88" s="311"/>
      <c r="H88" s="311"/>
      <c r="I88" s="162"/>
      <c r="J88" s="310" t="s">
        <v>298</v>
      </c>
      <c r="K88" s="311"/>
      <c r="L88" s="311"/>
      <c r="M88" s="311"/>
      <c r="N88" s="311"/>
      <c r="O88" s="311"/>
      <c r="P88" s="311"/>
      <c r="Q88" s="311"/>
      <c r="R88" s="312"/>
    </row>
    <row r="89" spans="1:18" ht="17.100000000000001" customHeight="1" x14ac:dyDescent="0.2">
      <c r="A89" s="313" t="str">
        <f>ขร2!J199</f>
        <v>โรงพยาบาลสามโคก  ประจำเดือน  พฤศจิกายน  2568</v>
      </c>
      <c r="B89" s="314"/>
      <c r="C89" s="314"/>
      <c r="D89" s="314"/>
      <c r="E89" s="314"/>
      <c r="F89" s="314"/>
      <c r="G89" s="314"/>
      <c r="H89" s="314"/>
      <c r="I89" s="315"/>
    </row>
    <row r="90" spans="1:18" ht="17.100000000000001" customHeight="1" x14ac:dyDescent="0.2">
      <c r="A90" s="308" t="s">
        <v>504</v>
      </c>
      <c r="B90" s="316"/>
      <c r="C90" s="316"/>
      <c r="D90" s="316"/>
      <c r="E90" s="316"/>
      <c r="F90" s="316"/>
      <c r="G90" s="316"/>
      <c r="H90" s="316"/>
      <c r="I90" s="309"/>
    </row>
    <row r="91" spans="1:18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</row>
    <row r="92" spans="1:18" ht="17.100000000000001" customHeight="1" x14ac:dyDescent="0.2">
      <c r="A92" s="149"/>
      <c r="B92" s="307" t="s">
        <v>9</v>
      </c>
      <c r="C92" s="307"/>
      <c r="D92" s="307"/>
      <c r="E92" s="147"/>
      <c r="F92" s="147"/>
      <c r="G92" s="307" t="s">
        <v>10</v>
      </c>
      <c r="H92" s="307"/>
      <c r="I92" s="152"/>
    </row>
    <row r="93" spans="1:18" ht="17.100000000000001" customHeight="1" x14ac:dyDescent="0.2">
      <c r="A93" s="149"/>
      <c r="B93" s="306" t="s">
        <v>3</v>
      </c>
      <c r="C93" s="306"/>
      <c r="D93" s="154">
        <v>0</v>
      </c>
      <c r="E93" s="154"/>
      <c r="F93" s="155"/>
      <c r="G93" s="150" t="s">
        <v>99</v>
      </c>
      <c r="H93" s="154">
        <v>0</v>
      </c>
      <c r="I93" s="152"/>
    </row>
    <row r="94" spans="1:18" ht="17.100000000000001" customHeight="1" x14ac:dyDescent="0.2">
      <c r="A94" s="149"/>
      <c r="B94" s="306" t="s">
        <v>106</v>
      </c>
      <c r="C94" s="306"/>
      <c r="D94" s="154">
        <v>0</v>
      </c>
      <c r="E94" s="154"/>
      <c r="F94" s="155"/>
      <c r="G94" s="150" t="s">
        <v>53</v>
      </c>
      <c r="H94" s="154">
        <v>0</v>
      </c>
      <c r="I94" s="152"/>
    </row>
    <row r="95" spans="1:18" ht="17.100000000000001" customHeight="1" x14ac:dyDescent="0.2">
      <c r="A95" s="149"/>
      <c r="B95" s="317" t="s">
        <v>140</v>
      </c>
      <c r="C95" s="317"/>
      <c r="D95" s="154"/>
      <c r="E95" s="154"/>
      <c r="F95" s="155"/>
      <c r="G95" s="150" t="s">
        <v>54</v>
      </c>
      <c r="H95" s="154">
        <v>0</v>
      </c>
      <c r="I95" s="152"/>
    </row>
    <row r="96" spans="1:18" ht="17.100000000000001" customHeight="1" x14ac:dyDescent="0.2">
      <c r="A96" s="149"/>
      <c r="B96" s="306" t="s">
        <v>105</v>
      </c>
      <c r="C96" s="306"/>
      <c r="D96" s="154">
        <f>ข้าราชการ!H64</f>
        <v>0</v>
      </c>
      <c r="E96" s="154"/>
      <c r="F96" s="155"/>
      <c r="G96" s="150" t="s">
        <v>100</v>
      </c>
      <c r="H96" s="154">
        <v>0</v>
      </c>
      <c r="I96" s="152"/>
    </row>
    <row r="97" spans="1:9" ht="17.100000000000001" customHeight="1" x14ac:dyDescent="0.2">
      <c r="A97" s="149"/>
      <c r="B97" s="306" t="s">
        <v>291</v>
      </c>
      <c r="C97" s="306"/>
      <c r="D97" s="154">
        <f>ข้าราชการ!I63</f>
        <v>0</v>
      </c>
      <c r="E97" s="154"/>
      <c r="F97" s="155"/>
      <c r="G97" s="150" t="s">
        <v>55</v>
      </c>
      <c r="H97" s="156">
        <v>0</v>
      </c>
      <c r="I97" s="152"/>
    </row>
    <row r="98" spans="1:9" ht="17.100000000000001" customHeight="1" x14ac:dyDescent="0.2">
      <c r="A98" s="149"/>
      <c r="B98" s="306" t="s">
        <v>662</v>
      </c>
      <c r="C98" s="306"/>
      <c r="D98" s="154">
        <f>ข้าราชการ!J63</f>
        <v>0</v>
      </c>
      <c r="E98" s="154"/>
      <c r="F98" s="155"/>
      <c r="G98" s="153" t="s">
        <v>137</v>
      </c>
      <c r="H98" s="156">
        <v>0</v>
      </c>
      <c r="I98" s="152"/>
    </row>
    <row r="99" spans="1:9" ht="17.100000000000001" customHeight="1" x14ac:dyDescent="0.2">
      <c r="A99" s="149"/>
      <c r="B99" s="306" t="s">
        <v>5</v>
      </c>
      <c r="C99" s="306"/>
      <c r="D99" s="154">
        <f>ข้าราชการ!K60</f>
        <v>0</v>
      </c>
      <c r="E99" s="154"/>
      <c r="F99" s="155"/>
      <c r="G99" s="150" t="s">
        <v>56</v>
      </c>
      <c r="H99" s="156">
        <f>ข้าราชการ!T63</f>
        <v>0</v>
      </c>
      <c r="I99" s="152"/>
    </row>
    <row r="100" spans="1:9" ht="17.100000000000001" customHeight="1" x14ac:dyDescent="0.2">
      <c r="A100" s="149"/>
      <c r="B100" s="150" t="s">
        <v>6</v>
      </c>
      <c r="C100" s="150"/>
      <c r="D100" s="154">
        <v>0</v>
      </c>
      <c r="E100" s="154"/>
      <c r="F100" s="155"/>
      <c r="G100" s="150" t="s">
        <v>57</v>
      </c>
      <c r="H100" s="156">
        <f>ข้าราชการ!U63</f>
        <v>0</v>
      </c>
      <c r="I100" s="152"/>
    </row>
    <row r="101" spans="1:9" ht="17.100000000000001" customHeight="1" x14ac:dyDescent="0.2">
      <c r="A101" s="149"/>
      <c r="B101" s="306" t="s">
        <v>7</v>
      </c>
      <c r="C101" s="306"/>
      <c r="D101" s="154">
        <f>ข้าราชการ!L63</f>
        <v>0</v>
      </c>
      <c r="E101" s="154"/>
      <c r="F101" s="155"/>
      <c r="G101" s="150"/>
      <c r="H101" s="154"/>
      <c r="I101" s="152"/>
    </row>
    <row r="102" spans="1:9" ht="17.100000000000001" customHeight="1" x14ac:dyDescent="0.2">
      <c r="A102" s="149"/>
      <c r="B102" s="307" t="s">
        <v>101</v>
      </c>
      <c r="C102" s="307"/>
      <c r="D102" s="154">
        <f>SUM(D93:D101)</f>
        <v>0</v>
      </c>
      <c r="E102" s="157"/>
      <c r="F102" s="157"/>
      <c r="G102" s="147" t="s">
        <v>102</v>
      </c>
      <c r="H102" s="157">
        <f>SUM(H93:H101)</f>
        <v>0</v>
      </c>
      <c r="I102" s="152"/>
    </row>
    <row r="103" spans="1:9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</row>
    <row r="104" spans="1:9" ht="17.100000000000001" customHeight="1" x14ac:dyDescent="0.2">
      <c r="A104" s="149"/>
      <c r="B104" s="150"/>
      <c r="C104" s="307" t="str">
        <f>"("&amp;BAHTTEXT(D103)&amp;")"</f>
        <v>(ศูนย์บาทถ้วน)</v>
      </c>
      <c r="D104" s="307"/>
      <c r="E104" s="307"/>
      <c r="F104" s="307"/>
      <c r="G104" s="307"/>
      <c r="H104" s="150"/>
      <c r="I104" s="152"/>
    </row>
    <row r="105" spans="1:9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</row>
    <row r="106" spans="1:9" ht="17.100000000000001" customHeight="1" x14ac:dyDescent="0.2">
      <c r="A106" s="149"/>
      <c r="B106" s="150"/>
      <c r="C106" s="150"/>
      <c r="D106" s="150"/>
      <c r="E106" s="150"/>
      <c r="F106" s="150"/>
      <c r="G106" s="150"/>
      <c r="H106" s="150"/>
      <c r="I106" s="152"/>
    </row>
    <row r="107" spans="1:9" ht="17.100000000000001" customHeight="1" x14ac:dyDescent="0.2">
      <c r="A107" s="149"/>
      <c r="I107" s="152"/>
    </row>
    <row r="108" spans="1:9" ht="17.100000000000001" customHeight="1" x14ac:dyDescent="0.2">
      <c r="A108" s="149"/>
      <c r="I108" s="152"/>
    </row>
    <row r="109" spans="1:9" ht="17.100000000000001" customHeight="1" x14ac:dyDescent="0.2">
      <c r="A109" s="308" t="s">
        <v>315</v>
      </c>
      <c r="B109" s="307"/>
      <c r="C109" s="307"/>
      <c r="D109" s="307"/>
      <c r="E109" s="307"/>
      <c r="F109" s="307"/>
      <c r="G109" s="307"/>
      <c r="H109" s="307"/>
      <c r="I109" s="309"/>
    </row>
    <row r="110" spans="1:9" ht="17.100000000000001" customHeight="1" x14ac:dyDescent="0.2">
      <c r="A110" s="310" t="s">
        <v>298</v>
      </c>
      <c r="B110" s="311"/>
      <c r="C110" s="311"/>
      <c r="D110" s="311"/>
      <c r="E110" s="311"/>
      <c r="F110" s="311"/>
      <c r="G110" s="311"/>
      <c r="H110" s="311"/>
      <c r="I110" s="312"/>
    </row>
    <row r="111" spans="1:9" ht="17.100000000000001" customHeight="1" x14ac:dyDescent="0.2">
      <c r="A111" s="313" t="str">
        <f>ขร2!J177</f>
        <v>โรงพยาบาลสามโคก  ประจำเดือน  พฤศจิกายน  2568</v>
      </c>
      <c r="B111" s="314"/>
      <c r="C111" s="314"/>
      <c r="D111" s="314"/>
      <c r="E111" s="314"/>
      <c r="F111" s="314"/>
      <c r="G111" s="314"/>
      <c r="H111" s="314"/>
      <c r="I111" s="315"/>
    </row>
    <row r="112" spans="1:9" ht="17.100000000000001" customHeight="1" x14ac:dyDescent="0.2">
      <c r="A112" s="308" t="s">
        <v>536</v>
      </c>
      <c r="B112" s="307"/>
      <c r="C112" s="307"/>
      <c r="D112" s="307"/>
      <c r="E112" s="307"/>
      <c r="F112" s="307"/>
      <c r="G112" s="307"/>
      <c r="H112" s="307"/>
      <c r="I112" s="309"/>
    </row>
    <row r="113" spans="1:9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</row>
    <row r="114" spans="1:9" ht="17.100000000000001" customHeight="1" x14ac:dyDescent="0.2">
      <c r="A114" s="149"/>
      <c r="B114" s="307" t="s">
        <v>9</v>
      </c>
      <c r="C114" s="307"/>
      <c r="D114" s="307"/>
      <c r="E114" s="147"/>
      <c r="F114" s="147"/>
      <c r="G114" s="307" t="s">
        <v>10</v>
      </c>
      <c r="H114" s="307"/>
      <c r="I114" s="152"/>
    </row>
    <row r="115" spans="1:9" ht="17.100000000000001" customHeight="1" x14ac:dyDescent="0.2">
      <c r="A115" s="149"/>
      <c r="B115" s="306" t="s">
        <v>3</v>
      </c>
      <c r="C115" s="306"/>
      <c r="D115" s="154">
        <f>ข้าราชการ!N55</f>
        <v>0</v>
      </c>
      <c r="E115" s="154"/>
      <c r="F115" s="155"/>
      <c r="G115" s="150" t="s">
        <v>99</v>
      </c>
      <c r="H115" s="154">
        <v>0</v>
      </c>
      <c r="I115" s="152"/>
    </row>
    <row r="116" spans="1:9" ht="17.100000000000001" customHeight="1" x14ac:dyDescent="0.2">
      <c r="A116" s="149"/>
      <c r="B116" s="306" t="s">
        <v>106</v>
      </c>
      <c r="C116" s="306"/>
      <c r="D116" s="154">
        <v>0</v>
      </c>
      <c r="E116" s="154"/>
      <c r="F116" s="155"/>
      <c r="G116" s="150" t="s">
        <v>53</v>
      </c>
      <c r="H116" s="154">
        <v>0</v>
      </c>
      <c r="I116" s="152"/>
    </row>
    <row r="117" spans="1:9" ht="17.100000000000001" customHeight="1" x14ac:dyDescent="0.2">
      <c r="A117" s="149"/>
      <c r="B117" s="306" t="s">
        <v>140</v>
      </c>
      <c r="C117" s="306"/>
      <c r="D117" s="154">
        <f>ข้าราชการ!G64</f>
        <v>0</v>
      </c>
      <c r="E117" s="154"/>
      <c r="F117" s="155"/>
      <c r="G117" s="150" t="s">
        <v>54</v>
      </c>
      <c r="H117" s="154">
        <v>0</v>
      </c>
      <c r="I117" s="152"/>
    </row>
    <row r="118" spans="1:9" ht="17.100000000000001" customHeight="1" x14ac:dyDescent="0.2">
      <c r="A118" s="149"/>
      <c r="B118" s="306" t="s">
        <v>105</v>
      </c>
      <c r="C118" s="306"/>
      <c r="D118" s="154">
        <f>ข้าราชการ!H64</f>
        <v>0</v>
      </c>
      <c r="E118" s="154"/>
      <c r="F118" s="155"/>
      <c r="G118" s="150" t="s">
        <v>100</v>
      </c>
      <c r="H118" s="154">
        <v>0</v>
      </c>
      <c r="I118" s="152"/>
    </row>
    <row r="119" spans="1:9" ht="17.100000000000001" customHeight="1" x14ac:dyDescent="0.2">
      <c r="A119" s="149"/>
      <c r="B119" s="306" t="s">
        <v>291</v>
      </c>
      <c r="C119" s="306"/>
      <c r="D119" s="154">
        <f>ข้าราชการ!I64</f>
        <v>0</v>
      </c>
      <c r="E119" s="154"/>
      <c r="F119" s="155"/>
      <c r="G119" s="150" t="s">
        <v>55</v>
      </c>
      <c r="H119" s="156">
        <f>ข้าราชการ!R64</f>
        <v>0</v>
      </c>
      <c r="I119" s="152"/>
    </row>
    <row r="120" spans="1:9" ht="17.100000000000001" customHeight="1" x14ac:dyDescent="0.2">
      <c r="A120" s="149"/>
      <c r="B120" s="306" t="s">
        <v>662</v>
      </c>
      <c r="C120" s="306"/>
      <c r="D120" s="154">
        <f>ข้าราชการ!J64</f>
        <v>0</v>
      </c>
      <c r="E120" s="154"/>
      <c r="F120" s="155"/>
      <c r="G120" s="153" t="s">
        <v>137</v>
      </c>
      <c r="H120" s="156">
        <f>ข้าราชการ!S64</f>
        <v>0</v>
      </c>
      <c r="I120" s="152"/>
    </row>
    <row r="121" spans="1:9" ht="17.100000000000001" customHeight="1" x14ac:dyDescent="0.2">
      <c r="A121" s="149"/>
      <c r="B121" s="306" t="s">
        <v>5</v>
      </c>
      <c r="C121" s="306"/>
      <c r="D121" s="154">
        <f>ข้าราชการ!K63</f>
        <v>0</v>
      </c>
      <c r="E121" s="154"/>
      <c r="F121" s="155"/>
      <c r="G121" s="150" t="s">
        <v>56</v>
      </c>
      <c r="H121" s="156">
        <f>ข้าราชการ!T64</f>
        <v>0</v>
      </c>
      <c r="I121" s="152"/>
    </row>
    <row r="122" spans="1:9" ht="17.100000000000001" customHeight="1" x14ac:dyDescent="0.2">
      <c r="A122" s="149"/>
      <c r="B122" s="150" t="s">
        <v>6</v>
      </c>
      <c r="C122" s="150"/>
      <c r="D122" s="154">
        <v>0</v>
      </c>
      <c r="E122" s="154"/>
      <c r="F122" s="155"/>
      <c r="G122" s="150" t="s">
        <v>57</v>
      </c>
      <c r="H122" s="156">
        <f>ข้าราชการ!U64</f>
        <v>0</v>
      </c>
      <c r="I122" s="152"/>
    </row>
    <row r="123" spans="1:9" ht="17.100000000000001" customHeight="1" x14ac:dyDescent="0.2">
      <c r="A123" s="149"/>
      <c r="B123" s="306" t="s">
        <v>7</v>
      </c>
      <c r="C123" s="306"/>
      <c r="D123" s="154">
        <f>ข้าราชการ!M65</f>
        <v>0</v>
      </c>
      <c r="E123" s="154"/>
      <c r="F123" s="155"/>
      <c r="G123" s="150"/>
      <c r="H123" s="154"/>
      <c r="I123" s="152"/>
    </row>
    <row r="124" spans="1:9" ht="17.100000000000001" customHeight="1" x14ac:dyDescent="0.2">
      <c r="A124" s="149"/>
      <c r="B124" s="307" t="s">
        <v>101</v>
      </c>
      <c r="C124" s="307"/>
      <c r="D124" s="157">
        <f>SUM(D115:D123)</f>
        <v>0</v>
      </c>
      <c r="E124" s="157"/>
      <c r="F124" s="157"/>
      <c r="G124" s="147" t="s">
        <v>102</v>
      </c>
      <c r="H124" s="157">
        <f>SUM(H115:H123)</f>
        <v>0</v>
      </c>
      <c r="I124" s="152"/>
    </row>
    <row r="125" spans="1:9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</row>
    <row r="126" spans="1:9" ht="17.100000000000001" customHeight="1" x14ac:dyDescent="0.2">
      <c r="A126" s="149"/>
      <c r="B126" s="150"/>
      <c r="C126" s="307" t="str">
        <f>"("&amp;BAHTTEXT(D125)&amp;")"</f>
        <v>(ศูนย์บาทถ้วน)</v>
      </c>
      <c r="D126" s="307"/>
      <c r="E126" s="307"/>
      <c r="F126" s="307"/>
      <c r="G126" s="307"/>
      <c r="H126" s="150"/>
      <c r="I126" s="152"/>
    </row>
    <row r="127" spans="1:9" ht="17.100000000000001" customHeight="1" x14ac:dyDescent="0.2">
      <c r="A127" s="149"/>
      <c r="B127" s="150"/>
      <c r="C127" s="147"/>
      <c r="D127" s="147"/>
      <c r="E127" s="147"/>
      <c r="F127" s="147"/>
      <c r="G127" s="147"/>
      <c r="H127" s="150"/>
      <c r="I127" s="152"/>
    </row>
    <row r="128" spans="1:9" ht="17.100000000000001" customHeight="1" x14ac:dyDescent="0.2">
      <c r="A128" s="149"/>
      <c r="B128" s="150"/>
      <c r="C128" s="150"/>
      <c r="D128" s="150"/>
      <c r="E128" s="150"/>
      <c r="F128" s="150"/>
      <c r="G128" s="150"/>
      <c r="H128" s="150"/>
      <c r="I128" s="152"/>
    </row>
    <row r="129" spans="1:9" ht="17.100000000000001" customHeight="1" x14ac:dyDescent="0.2">
      <c r="A129" s="149"/>
      <c r="I129" s="152"/>
    </row>
    <row r="130" spans="1:9" ht="17.100000000000001" customHeight="1" x14ac:dyDescent="0.2">
      <c r="A130" s="149"/>
      <c r="I130" s="152"/>
    </row>
    <row r="131" spans="1:9" ht="17.100000000000001" customHeight="1" x14ac:dyDescent="0.2">
      <c r="A131" s="308" t="s">
        <v>315</v>
      </c>
      <c r="B131" s="307"/>
      <c r="C131" s="307"/>
      <c r="D131" s="307"/>
      <c r="E131" s="307"/>
      <c r="F131" s="307"/>
      <c r="G131" s="307"/>
      <c r="H131" s="307"/>
      <c r="I131" s="309"/>
    </row>
    <row r="132" spans="1:9" ht="17.100000000000001" customHeight="1" x14ac:dyDescent="0.2">
      <c r="A132" s="310" t="s">
        <v>298</v>
      </c>
      <c r="B132" s="311"/>
      <c r="C132" s="311"/>
      <c r="D132" s="311"/>
      <c r="E132" s="311"/>
      <c r="F132" s="311"/>
      <c r="G132" s="311"/>
      <c r="H132" s="311"/>
      <c r="I132" s="312"/>
    </row>
    <row r="133" spans="1:9" ht="17.100000000000001" customHeight="1" x14ac:dyDescent="0.2">
      <c r="A133" s="313" t="str">
        <f>ขร2!J199</f>
        <v>โรงพยาบาลสามโคก  ประจำเดือน  พฤศจิกายน  2568</v>
      </c>
      <c r="B133" s="314"/>
      <c r="C133" s="314"/>
      <c r="D133" s="314"/>
      <c r="E133" s="314"/>
      <c r="F133" s="314"/>
      <c r="G133" s="314"/>
      <c r="H133" s="314"/>
      <c r="I133" s="315"/>
    </row>
    <row r="134" spans="1:9" ht="17.100000000000001" customHeight="1" x14ac:dyDescent="0.2">
      <c r="A134" s="308" t="s">
        <v>537</v>
      </c>
      <c r="B134" s="307"/>
      <c r="C134" s="307"/>
      <c r="D134" s="307"/>
      <c r="E134" s="307"/>
      <c r="F134" s="307"/>
      <c r="G134" s="307"/>
      <c r="H134" s="307"/>
      <c r="I134" s="309"/>
    </row>
    <row r="135" spans="1:9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</row>
    <row r="136" spans="1:9" ht="17.100000000000001" customHeight="1" x14ac:dyDescent="0.2">
      <c r="A136" s="149"/>
      <c r="B136" s="307" t="s">
        <v>9</v>
      </c>
      <c r="C136" s="307"/>
      <c r="D136" s="307"/>
      <c r="E136" s="147"/>
      <c r="F136" s="147"/>
      <c r="G136" s="307" t="s">
        <v>10</v>
      </c>
      <c r="H136" s="307"/>
      <c r="I136" s="152"/>
    </row>
    <row r="137" spans="1:9" ht="17.100000000000001" customHeight="1" x14ac:dyDescent="0.2">
      <c r="A137" s="149"/>
      <c r="B137" s="306" t="s">
        <v>3</v>
      </c>
      <c r="C137" s="306"/>
      <c r="D137" s="154">
        <f>ข้าราชการ!N163</f>
        <v>0</v>
      </c>
      <c r="E137" s="154"/>
      <c r="F137" s="155"/>
      <c r="G137" s="150" t="s">
        <v>99</v>
      </c>
      <c r="H137" s="154">
        <f>ข้าราชการ!W163</f>
        <v>0</v>
      </c>
      <c r="I137" s="152"/>
    </row>
    <row r="138" spans="1:9" ht="17.100000000000001" customHeight="1" x14ac:dyDescent="0.2">
      <c r="A138" s="149"/>
      <c r="B138" s="306" t="s">
        <v>106</v>
      </c>
      <c r="C138" s="306"/>
      <c r="D138" s="154">
        <f>ข้าราชการ!O163</f>
        <v>0</v>
      </c>
      <c r="E138" s="154"/>
      <c r="F138" s="155"/>
      <c r="G138" s="150" t="s">
        <v>53</v>
      </c>
      <c r="H138" s="154">
        <f>ข้าราชการ!X163</f>
        <v>0</v>
      </c>
      <c r="I138" s="152"/>
    </row>
    <row r="139" spans="1:9" ht="17.100000000000001" customHeight="1" x14ac:dyDescent="0.2">
      <c r="A139" s="149"/>
      <c r="B139" s="317" t="s">
        <v>140</v>
      </c>
      <c r="C139" s="317"/>
      <c r="D139" s="154"/>
      <c r="E139" s="154"/>
      <c r="F139" s="155"/>
      <c r="G139" s="150" t="s">
        <v>54</v>
      </c>
      <c r="H139" s="154">
        <f>ข้าราชการ!Y163</f>
        <v>0</v>
      </c>
      <c r="I139" s="152"/>
    </row>
    <row r="140" spans="1:9" ht="17.100000000000001" customHeight="1" x14ac:dyDescent="0.2">
      <c r="A140" s="149"/>
      <c r="B140" s="306" t="s">
        <v>105</v>
      </c>
      <c r="C140" s="306"/>
      <c r="D140" s="154">
        <f>ข้าราชการ!H65</f>
        <v>0</v>
      </c>
      <c r="E140" s="154"/>
      <c r="F140" s="155"/>
      <c r="G140" s="150" t="s">
        <v>100</v>
      </c>
      <c r="H140" s="154">
        <f>ข้าราชการ!Z163</f>
        <v>0</v>
      </c>
      <c r="I140" s="152"/>
    </row>
    <row r="141" spans="1:9" ht="17.100000000000001" customHeight="1" x14ac:dyDescent="0.2">
      <c r="A141" s="149"/>
      <c r="B141" s="306" t="s">
        <v>291</v>
      </c>
      <c r="C141" s="306"/>
      <c r="D141" s="154">
        <f>ข้าราชการ!I65</f>
        <v>0</v>
      </c>
      <c r="E141" s="154"/>
      <c r="F141" s="155"/>
      <c r="G141" s="150" t="s">
        <v>55</v>
      </c>
      <c r="H141" s="156">
        <f>ข้าราชการ!AA163</f>
        <v>0</v>
      </c>
      <c r="I141" s="152"/>
    </row>
    <row r="142" spans="1:9" ht="17.100000000000001" customHeight="1" x14ac:dyDescent="0.2">
      <c r="A142" s="149"/>
      <c r="B142" s="306" t="s">
        <v>662</v>
      </c>
      <c r="C142" s="306"/>
      <c r="D142" s="154">
        <f>ข้าราชการ!J65</f>
        <v>0</v>
      </c>
      <c r="E142" s="154"/>
      <c r="F142" s="155"/>
      <c r="G142" s="153" t="s">
        <v>137</v>
      </c>
      <c r="H142" s="156">
        <f>ข้าราชการ!AB163</f>
        <v>0</v>
      </c>
      <c r="I142" s="152"/>
    </row>
    <row r="143" spans="1:9" ht="17.100000000000001" customHeight="1" x14ac:dyDescent="0.2">
      <c r="A143" s="149"/>
      <c r="B143" s="306" t="s">
        <v>5</v>
      </c>
      <c r="C143" s="306"/>
      <c r="D143" s="154">
        <f>ข้าราชการ!K64</f>
        <v>0</v>
      </c>
      <c r="E143" s="154"/>
      <c r="F143" s="155"/>
      <c r="G143" s="150" t="s">
        <v>56</v>
      </c>
      <c r="H143" s="156">
        <f>ข้าราชการ!T65</f>
        <v>0</v>
      </c>
      <c r="I143" s="152"/>
    </row>
    <row r="144" spans="1:9" ht="17.100000000000001" customHeight="1" x14ac:dyDescent="0.2">
      <c r="A144" s="149"/>
      <c r="B144" s="150" t="s">
        <v>6</v>
      </c>
      <c r="C144" s="150"/>
      <c r="D144" s="154">
        <v>0</v>
      </c>
      <c r="E144" s="154"/>
      <c r="F144" s="155"/>
      <c r="G144" s="150" t="s">
        <v>57</v>
      </c>
      <c r="H144" s="156">
        <f>ข้าราชการ!U65</f>
        <v>0</v>
      </c>
      <c r="I144" s="152"/>
    </row>
    <row r="145" spans="1:9" ht="17.100000000000001" customHeight="1" x14ac:dyDescent="0.2">
      <c r="A145" s="149"/>
      <c r="B145" s="306" t="s">
        <v>7</v>
      </c>
      <c r="C145" s="306"/>
      <c r="D145" s="154">
        <f>ข้าราชการ!M64</f>
        <v>0</v>
      </c>
      <c r="E145" s="154"/>
      <c r="F145" s="155"/>
      <c r="G145" s="150"/>
      <c r="H145" s="154"/>
      <c r="I145" s="152"/>
    </row>
    <row r="146" spans="1:9" ht="17.100000000000001" customHeight="1" x14ac:dyDescent="0.2">
      <c r="A146" s="149"/>
      <c r="B146" s="307" t="s">
        <v>101</v>
      </c>
      <c r="C146" s="307"/>
      <c r="D146" s="154">
        <f>SUM(D137:D145)</f>
        <v>0</v>
      </c>
      <c r="E146" s="157"/>
      <c r="F146" s="157"/>
      <c r="G146" s="147" t="s">
        <v>102</v>
      </c>
      <c r="H146" s="157">
        <f>SUM(H137:H145)</f>
        <v>0</v>
      </c>
      <c r="I146" s="152"/>
    </row>
    <row r="147" spans="1:9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</row>
    <row r="148" spans="1:9" ht="17.100000000000001" customHeight="1" x14ac:dyDescent="0.2">
      <c r="A148" s="149"/>
      <c r="B148" s="150"/>
      <c r="C148" s="307" t="str">
        <f>"("&amp;BAHTTEXT(D147)&amp;")"</f>
        <v>(ศูนย์บาทถ้วน)</v>
      </c>
      <c r="D148" s="307"/>
      <c r="E148" s="307"/>
      <c r="F148" s="307"/>
      <c r="G148" s="307"/>
      <c r="H148" s="150"/>
      <c r="I148" s="152"/>
    </row>
    <row r="149" spans="1:9" ht="17.100000000000001" customHeight="1" x14ac:dyDescent="0.2">
      <c r="A149" s="149"/>
      <c r="B149" s="150"/>
      <c r="C149" s="147"/>
      <c r="D149" s="147"/>
      <c r="E149" s="147"/>
      <c r="F149" s="147"/>
      <c r="G149" s="147"/>
      <c r="H149" s="150"/>
      <c r="I149" s="152"/>
    </row>
    <row r="150" spans="1:9" ht="17.100000000000001" customHeight="1" x14ac:dyDescent="0.2">
      <c r="A150" s="149"/>
      <c r="B150" s="150"/>
      <c r="C150" s="150"/>
      <c r="D150" s="150"/>
      <c r="E150" s="150"/>
      <c r="F150" s="150"/>
      <c r="G150" s="150"/>
      <c r="H150" s="150"/>
      <c r="I150" s="152"/>
    </row>
    <row r="151" spans="1:9" ht="17.100000000000001" customHeight="1" x14ac:dyDescent="0.2">
      <c r="A151" s="149"/>
      <c r="I151" s="152"/>
    </row>
    <row r="152" spans="1:9" ht="17.100000000000001" customHeight="1" x14ac:dyDescent="0.2">
      <c r="A152" s="149"/>
      <c r="I152" s="152"/>
    </row>
    <row r="153" spans="1:9" ht="17.100000000000001" customHeight="1" x14ac:dyDescent="0.2">
      <c r="A153" s="308" t="s">
        <v>315</v>
      </c>
      <c r="B153" s="307"/>
      <c r="C153" s="307"/>
      <c r="D153" s="307"/>
      <c r="E153" s="307"/>
      <c r="F153" s="307"/>
      <c r="G153" s="307"/>
      <c r="H153" s="307"/>
      <c r="I153" s="309"/>
    </row>
    <row r="154" spans="1:9" ht="17.100000000000001" customHeight="1" x14ac:dyDescent="0.2">
      <c r="A154" s="310" t="s">
        <v>298</v>
      </c>
      <c r="B154" s="311"/>
      <c r="C154" s="311"/>
      <c r="D154" s="311"/>
      <c r="E154" s="311"/>
      <c r="F154" s="311"/>
      <c r="G154" s="311"/>
      <c r="H154" s="311"/>
      <c r="I154" s="312"/>
    </row>
    <row r="155" spans="1:9" ht="17.100000000000001" customHeight="1" x14ac:dyDescent="0.2">
      <c r="A155" s="313" t="str">
        <f>ขร2!J199</f>
        <v>โรงพยาบาลสามโคก  ประจำเดือน  พฤศจิกายน  2568</v>
      </c>
      <c r="B155" s="314"/>
      <c r="C155" s="314"/>
      <c r="D155" s="314"/>
      <c r="E155" s="314"/>
      <c r="F155" s="314"/>
      <c r="G155" s="314"/>
      <c r="H155" s="314"/>
      <c r="I155" s="315"/>
    </row>
    <row r="156" spans="1:9" ht="17.100000000000001" customHeight="1" x14ac:dyDescent="0.2">
      <c r="A156" s="308" t="s">
        <v>535</v>
      </c>
      <c r="B156" s="307"/>
      <c r="C156" s="307"/>
      <c r="D156" s="307"/>
      <c r="E156" s="307"/>
      <c r="F156" s="307"/>
      <c r="G156" s="307"/>
      <c r="H156" s="307"/>
      <c r="I156" s="309"/>
    </row>
    <row r="157" spans="1:9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63"/>
    </row>
    <row r="158" spans="1:9" ht="17.100000000000001" customHeight="1" x14ac:dyDescent="0.2">
      <c r="A158" s="149"/>
      <c r="B158" s="307" t="s">
        <v>9</v>
      </c>
      <c r="C158" s="307"/>
      <c r="D158" s="307"/>
      <c r="E158" s="147"/>
      <c r="F158" s="147"/>
      <c r="G158" s="307" t="s">
        <v>10</v>
      </c>
      <c r="H158" s="307"/>
      <c r="I158" s="148"/>
    </row>
    <row r="159" spans="1:9" ht="17.100000000000001" customHeight="1" x14ac:dyDescent="0.2">
      <c r="A159" s="149"/>
      <c r="B159" s="306" t="s">
        <v>3</v>
      </c>
      <c r="C159" s="306"/>
      <c r="D159" s="154">
        <v>0</v>
      </c>
      <c r="E159" s="154"/>
      <c r="F159" s="155"/>
      <c r="G159" s="150" t="s">
        <v>99</v>
      </c>
      <c r="H159" s="154">
        <f>ข้าราชการ!W142</f>
        <v>0</v>
      </c>
      <c r="I159" s="164"/>
    </row>
    <row r="160" spans="1:9" ht="17.100000000000001" customHeight="1" x14ac:dyDescent="0.2">
      <c r="A160" s="149"/>
      <c r="B160" s="306" t="s">
        <v>106</v>
      </c>
      <c r="C160" s="306"/>
      <c r="D160" s="154">
        <v>0</v>
      </c>
      <c r="E160" s="154"/>
      <c r="F160" s="155"/>
      <c r="G160" s="150" t="s">
        <v>53</v>
      </c>
      <c r="H160" s="154">
        <f>ข้าราชการ!X142</f>
        <v>0</v>
      </c>
      <c r="I160" s="164"/>
    </row>
    <row r="161" spans="1:9" ht="17.100000000000001" customHeight="1" x14ac:dyDescent="0.2">
      <c r="A161" s="149"/>
      <c r="B161" s="306" t="s">
        <v>140</v>
      </c>
      <c r="C161" s="306"/>
      <c r="D161" s="154">
        <f>ข้าราชการ!G67</f>
        <v>0</v>
      </c>
      <c r="E161" s="154"/>
      <c r="F161" s="155"/>
      <c r="G161" s="150" t="s">
        <v>54</v>
      </c>
      <c r="H161" s="154">
        <f>ข้าราชการ!Y142</f>
        <v>0</v>
      </c>
      <c r="I161" s="164"/>
    </row>
    <row r="162" spans="1:9" ht="17.100000000000001" customHeight="1" x14ac:dyDescent="0.2">
      <c r="A162" s="149"/>
      <c r="B162" s="306" t="s">
        <v>105</v>
      </c>
      <c r="C162" s="306"/>
      <c r="D162" s="154">
        <f>ข้าราชการ!H66</f>
        <v>0</v>
      </c>
      <c r="E162" s="154"/>
      <c r="F162" s="155"/>
      <c r="G162" s="150" t="s">
        <v>100</v>
      </c>
      <c r="H162" s="154">
        <f>ข้าราชการ!Q65</f>
        <v>0</v>
      </c>
      <c r="I162" s="164"/>
    </row>
    <row r="163" spans="1:9" ht="17.100000000000001" customHeight="1" x14ac:dyDescent="0.2">
      <c r="A163" s="149"/>
      <c r="B163" s="306" t="s">
        <v>291</v>
      </c>
      <c r="C163" s="306"/>
      <c r="D163" s="154">
        <f>ข้าราชการ!I66</f>
        <v>0</v>
      </c>
      <c r="E163" s="154"/>
      <c r="F163" s="155"/>
      <c r="G163" s="150" t="s">
        <v>55</v>
      </c>
      <c r="H163" s="156">
        <f>ข้าราชการ!R66</f>
        <v>0</v>
      </c>
      <c r="I163" s="165"/>
    </row>
    <row r="164" spans="1:9" ht="17.100000000000001" customHeight="1" x14ac:dyDescent="0.2">
      <c r="A164" s="149"/>
      <c r="B164" s="306" t="s">
        <v>662</v>
      </c>
      <c r="C164" s="306"/>
      <c r="D164" s="154">
        <f>ข้าราชการ!J66</f>
        <v>0</v>
      </c>
      <c r="E164" s="154"/>
      <c r="F164" s="155"/>
      <c r="G164" s="153" t="s">
        <v>137</v>
      </c>
      <c r="H164" s="156">
        <f>ข้าราชการ!S66</f>
        <v>0</v>
      </c>
      <c r="I164" s="165"/>
    </row>
    <row r="165" spans="1:9" ht="17.100000000000001" customHeight="1" x14ac:dyDescent="0.2">
      <c r="A165" s="149"/>
      <c r="B165" s="306" t="s">
        <v>5</v>
      </c>
      <c r="C165" s="306"/>
      <c r="D165" s="154">
        <f>ข้าราชการ!K65</f>
        <v>0</v>
      </c>
      <c r="E165" s="154"/>
      <c r="F165" s="155"/>
      <c r="G165" s="150" t="s">
        <v>56</v>
      </c>
      <c r="H165" s="156">
        <f>ข้าราชการ!T66</f>
        <v>0</v>
      </c>
      <c r="I165" s="165"/>
    </row>
    <row r="166" spans="1:9" ht="17.100000000000001" customHeight="1" x14ac:dyDescent="0.2">
      <c r="A166" s="149"/>
      <c r="B166" s="150" t="s">
        <v>6</v>
      </c>
      <c r="C166" s="150"/>
      <c r="D166" s="154">
        <v>0</v>
      </c>
      <c r="E166" s="154"/>
      <c r="F166" s="155"/>
      <c r="G166" s="150" t="s">
        <v>57</v>
      </c>
      <c r="H166" s="156">
        <f>ข้าราชการ!U66</f>
        <v>0</v>
      </c>
      <c r="I166" s="165"/>
    </row>
    <row r="167" spans="1:9" ht="17.100000000000001" customHeight="1" x14ac:dyDescent="0.2">
      <c r="A167" s="149"/>
      <c r="B167" s="306" t="s">
        <v>7</v>
      </c>
      <c r="C167" s="306"/>
      <c r="D167" s="154">
        <f>ข้าราชการ!M67</f>
        <v>0</v>
      </c>
      <c r="E167" s="154"/>
      <c r="F167" s="155"/>
      <c r="G167" s="150"/>
      <c r="H167" s="154"/>
      <c r="I167" s="164"/>
    </row>
    <row r="168" spans="1:9" ht="17.100000000000001" customHeight="1" x14ac:dyDescent="0.2">
      <c r="A168" s="149"/>
      <c r="B168" s="307" t="s">
        <v>101</v>
      </c>
      <c r="C168" s="307"/>
      <c r="D168" s="157">
        <f>SUM(D159:D167)</f>
        <v>0</v>
      </c>
      <c r="E168" s="157"/>
      <c r="F168" s="157"/>
      <c r="G168" s="147" t="s">
        <v>102</v>
      </c>
      <c r="H168" s="157">
        <f>SUM(H159:H167)</f>
        <v>0</v>
      </c>
      <c r="I168" s="166"/>
    </row>
    <row r="169" spans="1:9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63"/>
    </row>
    <row r="170" spans="1:9" ht="17.100000000000001" customHeight="1" x14ac:dyDescent="0.2">
      <c r="A170" s="149"/>
      <c r="B170" s="150"/>
      <c r="C170" s="307" t="str">
        <f>"("&amp;BAHTTEXT(D169)&amp;")"</f>
        <v>(ศูนย์บาทถ้วน)</v>
      </c>
      <c r="D170" s="307"/>
      <c r="E170" s="307"/>
      <c r="F170" s="307"/>
      <c r="G170" s="307"/>
      <c r="H170" s="150"/>
      <c r="I170" s="163"/>
    </row>
    <row r="171" spans="1:9" ht="17.100000000000001" customHeight="1" x14ac:dyDescent="0.2">
      <c r="A171" s="149"/>
      <c r="B171" s="150"/>
      <c r="C171" s="147"/>
      <c r="D171" s="147"/>
      <c r="E171" s="147"/>
      <c r="F171" s="147"/>
      <c r="G171" s="147"/>
      <c r="H171" s="150"/>
      <c r="I171" s="163"/>
    </row>
    <row r="172" spans="1:9" ht="17.100000000000001" customHeight="1" x14ac:dyDescent="0.2">
      <c r="A172" s="149"/>
      <c r="B172" s="150"/>
      <c r="C172" s="150"/>
      <c r="D172" s="150"/>
      <c r="E172" s="150"/>
      <c r="F172" s="150"/>
      <c r="G172" s="150"/>
      <c r="H172" s="150"/>
      <c r="I172" s="163"/>
    </row>
    <row r="173" spans="1:9" ht="17.100000000000001" customHeight="1" x14ac:dyDescent="0.2">
      <c r="A173" s="149"/>
      <c r="I173" s="152"/>
    </row>
    <row r="174" spans="1:9" ht="17.100000000000001" customHeight="1" x14ac:dyDescent="0.2">
      <c r="A174" s="149"/>
      <c r="I174" s="148"/>
    </row>
    <row r="175" spans="1:9" ht="17.100000000000001" customHeight="1" x14ac:dyDescent="0.2">
      <c r="A175" s="149"/>
      <c r="B175" s="307" t="s">
        <v>315</v>
      </c>
      <c r="C175" s="307"/>
      <c r="D175" s="307"/>
      <c r="E175" s="307"/>
      <c r="F175" s="307"/>
      <c r="G175" s="307"/>
      <c r="H175" s="307"/>
      <c r="I175" s="148"/>
    </row>
    <row r="176" spans="1:9" ht="17.100000000000001" customHeight="1" x14ac:dyDescent="0.2">
      <c r="A176" s="161"/>
      <c r="B176" s="311" t="s">
        <v>298</v>
      </c>
      <c r="C176" s="311"/>
      <c r="D176" s="311"/>
      <c r="E176" s="311"/>
      <c r="F176" s="311"/>
      <c r="G176" s="311"/>
      <c r="H176" s="311"/>
      <c r="I176" s="160"/>
    </row>
    <row r="177" spans="1:9" ht="17.100000000000001" customHeight="1" x14ac:dyDescent="0.2">
      <c r="A177" s="313" t="str">
        <f>A1</f>
        <v>โรงพยาบาลสามโคก  ประจำเดือน  พฤศจิกายน  2568</v>
      </c>
      <c r="B177" s="314"/>
      <c r="C177" s="314"/>
      <c r="D177" s="314"/>
      <c r="E177" s="314"/>
      <c r="F177" s="314"/>
      <c r="G177" s="314"/>
      <c r="H177" s="314"/>
      <c r="I177" s="315"/>
    </row>
    <row r="178" spans="1:9" ht="17.100000000000001" customHeight="1" x14ac:dyDescent="0.2">
      <c r="A178" s="308" t="s">
        <v>534</v>
      </c>
      <c r="B178" s="307"/>
      <c r="C178" s="307"/>
      <c r="D178" s="307"/>
      <c r="E178" s="307"/>
      <c r="F178" s="307"/>
      <c r="G178" s="307"/>
      <c r="H178" s="307"/>
      <c r="I178" s="309"/>
    </row>
    <row r="179" spans="1:9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</row>
    <row r="180" spans="1:9" ht="17.100000000000001" customHeight="1" x14ac:dyDescent="0.2">
      <c r="A180" s="149"/>
      <c r="B180" s="307" t="s">
        <v>9</v>
      </c>
      <c r="C180" s="307"/>
      <c r="D180" s="307"/>
      <c r="E180" s="147"/>
      <c r="F180" s="147"/>
      <c r="G180" s="307" t="s">
        <v>10</v>
      </c>
      <c r="H180" s="307"/>
      <c r="I180" s="152"/>
    </row>
    <row r="181" spans="1:9" ht="17.100000000000001" customHeight="1" x14ac:dyDescent="0.2">
      <c r="A181" s="149"/>
      <c r="B181" s="306" t="s">
        <v>3</v>
      </c>
      <c r="C181" s="306"/>
      <c r="D181" s="154">
        <f>ข้าราชการ!N207</f>
        <v>0</v>
      </c>
      <c r="E181" s="154"/>
      <c r="F181" s="155"/>
      <c r="G181" s="150" t="s">
        <v>99</v>
      </c>
      <c r="H181" s="154">
        <f>ข้าราชการ!W207</f>
        <v>0</v>
      </c>
      <c r="I181" s="152"/>
    </row>
    <row r="182" spans="1:9" ht="17.100000000000001" customHeight="1" x14ac:dyDescent="0.2">
      <c r="A182" s="149"/>
      <c r="B182" s="306" t="s">
        <v>106</v>
      </c>
      <c r="C182" s="306"/>
      <c r="D182" s="154">
        <f>ข้าราชการ!O207</f>
        <v>0</v>
      </c>
      <c r="E182" s="154"/>
      <c r="F182" s="155"/>
      <c r="G182" s="150" t="s">
        <v>53</v>
      </c>
      <c r="H182" s="154">
        <f>ข้าราชการ!X207</f>
        <v>0</v>
      </c>
      <c r="I182" s="152"/>
    </row>
    <row r="183" spans="1:9" ht="17.100000000000001" customHeight="1" x14ac:dyDescent="0.2">
      <c r="A183" s="149"/>
      <c r="B183" s="306" t="s">
        <v>107</v>
      </c>
      <c r="C183" s="306"/>
      <c r="D183" s="154">
        <f>ข้าราชการ!G68</f>
        <v>0</v>
      </c>
      <c r="E183" s="154"/>
      <c r="F183" s="155"/>
      <c r="G183" s="150" t="s">
        <v>54</v>
      </c>
      <c r="H183" s="154">
        <f>ข้าราชการ!Y207</f>
        <v>0</v>
      </c>
      <c r="I183" s="152"/>
    </row>
    <row r="184" spans="1:9" ht="17.100000000000001" customHeight="1" x14ac:dyDescent="0.2">
      <c r="A184" s="149"/>
      <c r="B184" s="306" t="s">
        <v>105</v>
      </c>
      <c r="C184" s="306"/>
      <c r="D184" s="154">
        <f>ข้าราชการ!H67</f>
        <v>0</v>
      </c>
      <c r="E184" s="154"/>
      <c r="F184" s="155"/>
      <c r="G184" s="150" t="s">
        <v>100</v>
      </c>
      <c r="H184" s="154">
        <f>ข้าราชการ!Q66</f>
        <v>0</v>
      </c>
      <c r="I184" s="152"/>
    </row>
    <row r="185" spans="1:9" ht="17.100000000000001" customHeight="1" x14ac:dyDescent="0.2">
      <c r="A185" s="149"/>
      <c r="B185" s="306" t="s">
        <v>291</v>
      </c>
      <c r="C185" s="306"/>
      <c r="D185" s="154">
        <f>ข้าราชการ!I68</f>
        <v>0</v>
      </c>
      <c r="E185" s="154"/>
      <c r="F185" s="155"/>
      <c r="G185" s="150" t="s">
        <v>55</v>
      </c>
      <c r="H185" s="156">
        <f>ข้าราชการ!R67</f>
        <v>0</v>
      </c>
      <c r="I185" s="152"/>
    </row>
    <row r="186" spans="1:9" ht="17.100000000000001" customHeight="1" x14ac:dyDescent="0.2">
      <c r="A186" s="149"/>
      <c r="B186" s="306" t="s">
        <v>662</v>
      </c>
      <c r="C186" s="306"/>
      <c r="D186" s="154">
        <f>ข้าราชการ!J67</f>
        <v>0</v>
      </c>
      <c r="E186" s="154"/>
      <c r="F186" s="155"/>
      <c r="G186" s="153" t="s">
        <v>137</v>
      </c>
      <c r="H186" s="156">
        <f>ข้าราชการ!S67</f>
        <v>0</v>
      </c>
      <c r="I186" s="152"/>
    </row>
    <row r="187" spans="1:9" ht="17.100000000000001" customHeight="1" x14ac:dyDescent="0.2">
      <c r="A187" s="149"/>
      <c r="B187" s="306" t="s">
        <v>5</v>
      </c>
      <c r="C187" s="306"/>
      <c r="D187" s="154">
        <f>ข้าราชการ!K66</f>
        <v>0</v>
      </c>
      <c r="E187" s="154"/>
      <c r="F187" s="155"/>
      <c r="G187" s="150" t="s">
        <v>56</v>
      </c>
      <c r="H187" s="156">
        <f>ข้าราชการ!T67</f>
        <v>0</v>
      </c>
      <c r="I187" s="152"/>
    </row>
    <row r="188" spans="1:9" ht="17.100000000000001" customHeight="1" x14ac:dyDescent="0.2">
      <c r="A188" s="149"/>
      <c r="B188" s="150" t="s">
        <v>6</v>
      </c>
      <c r="C188" s="150"/>
      <c r="D188" s="154">
        <f>ข้าราชการ!L66</f>
        <v>0</v>
      </c>
      <c r="E188" s="154"/>
      <c r="F188" s="155"/>
      <c r="G188" s="150" t="s">
        <v>57</v>
      </c>
      <c r="H188" s="156">
        <f>ข้าราชการ!U67</f>
        <v>0</v>
      </c>
      <c r="I188" s="152"/>
    </row>
    <row r="189" spans="1:9" ht="17.100000000000001" customHeight="1" x14ac:dyDescent="0.2">
      <c r="A189" s="149"/>
      <c r="B189" s="306" t="s">
        <v>7</v>
      </c>
      <c r="C189" s="306"/>
      <c r="D189" s="154">
        <v>0</v>
      </c>
      <c r="E189" s="154"/>
      <c r="F189" s="155"/>
      <c r="G189" s="150"/>
      <c r="H189" s="154"/>
      <c r="I189" s="152"/>
    </row>
    <row r="190" spans="1:9" ht="17.100000000000001" customHeight="1" x14ac:dyDescent="0.2">
      <c r="A190" s="149"/>
      <c r="B190" s="307" t="s">
        <v>101</v>
      </c>
      <c r="C190" s="307"/>
      <c r="D190" s="154">
        <f>SUM(D181:D189)</f>
        <v>0</v>
      </c>
      <c r="E190" s="157"/>
      <c r="F190" s="157"/>
      <c r="G190" s="147" t="s">
        <v>102</v>
      </c>
      <c r="H190" s="157">
        <f>SUM(H181:H189)</f>
        <v>0</v>
      </c>
      <c r="I190" s="152"/>
    </row>
    <row r="191" spans="1:9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</row>
    <row r="192" spans="1:9" ht="17.100000000000001" customHeight="1" x14ac:dyDescent="0.2">
      <c r="A192" s="149"/>
      <c r="B192" s="150"/>
      <c r="C192" s="307" t="str">
        <f>"("&amp;BAHTTEXT(D191)&amp;")"</f>
        <v>(ศูนย์บาทถ้วน)</v>
      </c>
      <c r="D192" s="307"/>
      <c r="E192" s="307"/>
      <c r="F192" s="307"/>
      <c r="G192" s="307"/>
      <c r="H192" s="150"/>
      <c r="I192" s="152"/>
    </row>
    <row r="193" spans="1:9" ht="17.100000000000001" customHeight="1" x14ac:dyDescent="0.2">
      <c r="A193" s="149"/>
      <c r="B193" s="150"/>
      <c r="C193" s="147"/>
      <c r="D193" s="147"/>
      <c r="E193" s="147"/>
      <c r="F193" s="147"/>
      <c r="G193" s="147"/>
      <c r="H193" s="150"/>
      <c r="I193" s="152"/>
    </row>
    <row r="194" spans="1:9" ht="17.100000000000001" customHeight="1" x14ac:dyDescent="0.2">
      <c r="A194" s="149"/>
      <c r="B194" s="150"/>
      <c r="C194" s="150"/>
      <c r="D194" s="150"/>
      <c r="E194" s="150"/>
      <c r="F194" s="150"/>
      <c r="G194" s="150"/>
      <c r="H194" s="150"/>
      <c r="I194" s="152"/>
    </row>
    <row r="195" spans="1:9" ht="17.100000000000001" customHeight="1" x14ac:dyDescent="0.2">
      <c r="A195" s="149"/>
      <c r="I195" s="152"/>
    </row>
    <row r="196" spans="1:9" ht="17.100000000000001" customHeight="1" x14ac:dyDescent="0.2">
      <c r="A196" s="149"/>
      <c r="I196" s="152"/>
    </row>
    <row r="197" spans="1:9" ht="17.100000000000001" customHeight="1" x14ac:dyDescent="0.2">
      <c r="A197" s="308" t="s">
        <v>315</v>
      </c>
      <c r="B197" s="316"/>
      <c r="C197" s="316"/>
      <c r="D197" s="316"/>
      <c r="E197" s="316"/>
      <c r="F197" s="316"/>
      <c r="G197" s="316"/>
      <c r="H197" s="316"/>
      <c r="I197" s="309"/>
    </row>
    <row r="198" spans="1:9" ht="17.100000000000001" customHeight="1" x14ac:dyDescent="0.2">
      <c r="A198" s="310" t="s">
        <v>298</v>
      </c>
      <c r="B198" s="311"/>
      <c r="C198" s="311"/>
      <c r="D198" s="311"/>
      <c r="E198" s="311"/>
      <c r="F198" s="311"/>
      <c r="G198" s="311"/>
      <c r="H198" s="311"/>
      <c r="I198" s="312"/>
    </row>
    <row r="199" spans="1:9" ht="17.100000000000001" customHeight="1" x14ac:dyDescent="0.2">
      <c r="A199" s="313" t="str">
        <f>พกส.1!J111</f>
        <v>โรงพยาบาลสามโคก  ประจำเดือน  พฤศจิกายน  2568</v>
      </c>
      <c r="B199" s="314"/>
      <c r="C199" s="314"/>
      <c r="D199" s="314"/>
      <c r="E199" s="314"/>
      <c r="F199" s="314"/>
      <c r="G199" s="314"/>
      <c r="H199" s="314"/>
      <c r="I199" s="315"/>
    </row>
    <row r="200" spans="1:9" ht="17.100000000000001" customHeight="1" x14ac:dyDescent="0.2">
      <c r="A200" s="308" t="s">
        <v>533</v>
      </c>
      <c r="B200" s="307"/>
      <c r="C200" s="307"/>
      <c r="D200" s="307"/>
      <c r="E200" s="307"/>
      <c r="F200" s="307"/>
      <c r="G200" s="307"/>
      <c r="H200" s="307"/>
      <c r="I200" s="309"/>
    </row>
    <row r="201" spans="1:9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</row>
    <row r="202" spans="1:9" ht="17.100000000000001" customHeight="1" x14ac:dyDescent="0.2">
      <c r="A202" s="149"/>
      <c r="B202" s="307" t="s">
        <v>9</v>
      </c>
      <c r="C202" s="307"/>
      <c r="D202" s="307"/>
      <c r="E202" s="147"/>
      <c r="F202" s="147"/>
      <c r="G202" s="307" t="s">
        <v>10</v>
      </c>
      <c r="H202" s="307"/>
      <c r="I202" s="152"/>
    </row>
    <row r="203" spans="1:9" ht="17.100000000000001" customHeight="1" x14ac:dyDescent="0.2">
      <c r="A203" s="149"/>
      <c r="B203" s="306" t="s">
        <v>3</v>
      </c>
      <c r="C203" s="306"/>
      <c r="D203" s="154">
        <f>พกส.!E82</f>
        <v>0</v>
      </c>
      <c r="E203" s="154"/>
      <c r="F203" s="155"/>
      <c r="G203" s="150" t="s">
        <v>99</v>
      </c>
      <c r="H203" s="154">
        <v>0</v>
      </c>
      <c r="I203" s="169"/>
    </row>
    <row r="204" spans="1:9" ht="17.100000000000001" customHeight="1" x14ac:dyDescent="0.2">
      <c r="A204" s="149"/>
      <c r="B204" s="306" t="s">
        <v>106</v>
      </c>
      <c r="C204" s="306"/>
      <c r="D204" s="154">
        <v>0</v>
      </c>
      <c r="E204" s="154"/>
      <c r="F204" s="155"/>
      <c r="G204" s="150" t="s">
        <v>53</v>
      </c>
      <c r="H204" s="154">
        <f>พกส.!N82</f>
        <v>0</v>
      </c>
      <c r="I204" s="169"/>
    </row>
    <row r="205" spans="1:9" ht="17.100000000000001" customHeight="1" x14ac:dyDescent="0.2">
      <c r="A205" s="149"/>
      <c r="B205" s="306" t="s">
        <v>140</v>
      </c>
      <c r="C205" s="306"/>
      <c r="D205" s="154">
        <f>ข้าราชการ!G67</f>
        <v>0</v>
      </c>
      <c r="E205" s="154"/>
      <c r="F205" s="155"/>
      <c r="G205" s="150" t="s">
        <v>54</v>
      </c>
      <c r="H205" s="154">
        <v>0</v>
      </c>
      <c r="I205" s="169"/>
    </row>
    <row r="206" spans="1:9" ht="17.100000000000001" customHeight="1" x14ac:dyDescent="0.2">
      <c r="A206" s="149"/>
      <c r="B206" s="306" t="s">
        <v>105</v>
      </c>
      <c r="C206" s="306"/>
      <c r="D206" s="154">
        <f>ข้าราชการ!H68</f>
        <v>0</v>
      </c>
      <c r="E206" s="154"/>
      <c r="F206" s="155"/>
      <c r="G206" s="150" t="s">
        <v>100</v>
      </c>
      <c r="H206" s="154">
        <v>0</v>
      </c>
      <c r="I206" s="169"/>
    </row>
    <row r="207" spans="1:9" ht="17.100000000000001" customHeight="1" x14ac:dyDescent="0.2">
      <c r="A207" s="149"/>
      <c r="B207" s="306" t="s">
        <v>291</v>
      </c>
      <c r="C207" s="306"/>
      <c r="D207" s="154">
        <f>ข้าราชการ!I69</f>
        <v>0</v>
      </c>
      <c r="E207" s="154"/>
      <c r="F207" s="155"/>
      <c r="G207" s="150" t="s">
        <v>55</v>
      </c>
      <c r="H207" s="156">
        <v>0</v>
      </c>
      <c r="I207" s="169"/>
    </row>
    <row r="208" spans="1:9" ht="17.100000000000001" customHeight="1" x14ac:dyDescent="0.2">
      <c r="A208" s="149"/>
      <c r="B208" s="306" t="s">
        <v>662</v>
      </c>
      <c r="C208" s="306"/>
      <c r="D208" s="154">
        <f>ข้าราชการ!J68</f>
        <v>0</v>
      </c>
      <c r="E208" s="154"/>
      <c r="F208" s="155"/>
      <c r="G208" s="150" t="s">
        <v>56</v>
      </c>
      <c r="H208" s="156">
        <f>ข้าราชการ!T68</f>
        <v>0</v>
      </c>
      <c r="I208" s="169"/>
    </row>
    <row r="209" spans="1:9" ht="17.100000000000001" customHeight="1" x14ac:dyDescent="0.2">
      <c r="A209" s="149"/>
      <c r="B209" s="306" t="s">
        <v>5</v>
      </c>
      <c r="C209" s="306"/>
      <c r="D209" s="154">
        <f>ข้าราชการ!K67</f>
        <v>0</v>
      </c>
      <c r="E209" s="154"/>
      <c r="F209" s="155"/>
      <c r="G209" s="150" t="s">
        <v>57</v>
      </c>
      <c r="H209" s="156">
        <f>ข้าราชการ!U68</f>
        <v>0</v>
      </c>
      <c r="I209" s="169"/>
    </row>
    <row r="210" spans="1:9" ht="17.100000000000001" customHeight="1" x14ac:dyDescent="0.2">
      <c r="A210" s="149"/>
      <c r="B210" s="306" t="s">
        <v>6</v>
      </c>
      <c r="C210" s="306"/>
      <c r="D210" s="154">
        <f>ข้าราชการ!L67</f>
        <v>0</v>
      </c>
      <c r="E210" s="154"/>
      <c r="F210" s="155"/>
      <c r="G210" s="150"/>
      <c r="H210" s="154"/>
      <c r="I210" s="169"/>
    </row>
    <row r="211" spans="1:9" ht="17.100000000000001" customHeight="1" x14ac:dyDescent="0.2">
      <c r="A211" s="149"/>
      <c r="B211" s="306" t="s">
        <v>7</v>
      </c>
      <c r="C211" s="306"/>
      <c r="D211" s="154">
        <f>ข้าราชการ!M69</f>
        <v>0</v>
      </c>
      <c r="E211" s="154"/>
      <c r="F211" s="155"/>
      <c r="G211" s="150"/>
      <c r="H211" s="154"/>
      <c r="I211" s="169"/>
    </row>
    <row r="212" spans="1:9" ht="17.100000000000001" customHeight="1" x14ac:dyDescent="0.2">
      <c r="A212" s="149"/>
      <c r="B212" s="307" t="s">
        <v>117</v>
      </c>
      <c r="C212" s="307"/>
      <c r="D212" s="157">
        <f>SUM(D203:D211)</f>
        <v>0</v>
      </c>
      <c r="E212" s="157"/>
      <c r="F212" s="157"/>
      <c r="G212" s="147" t="s">
        <v>118</v>
      </c>
      <c r="H212" s="157">
        <f>SUM(H203:H211)</f>
        <v>0</v>
      </c>
      <c r="I212" s="169"/>
    </row>
    <row r="213" spans="1:9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</row>
    <row r="214" spans="1:9" ht="17.100000000000001" customHeight="1" x14ac:dyDescent="0.2">
      <c r="A214" s="149"/>
      <c r="B214" s="150"/>
      <c r="C214" s="307" t="str">
        <f>"("&amp;BAHTTEXT(D213)&amp;")"</f>
        <v>(ศูนย์บาทถ้วน)</v>
      </c>
      <c r="D214" s="307"/>
      <c r="E214" s="307"/>
      <c r="F214" s="307"/>
      <c r="G214" s="307"/>
      <c r="H214" s="150"/>
      <c r="I214" s="152"/>
    </row>
    <row r="215" spans="1:9" ht="17.100000000000001" customHeight="1" x14ac:dyDescent="0.2">
      <c r="A215" s="149"/>
      <c r="B215" s="150"/>
      <c r="C215" s="147"/>
      <c r="D215" s="147"/>
      <c r="E215" s="147"/>
      <c r="F215" s="147"/>
      <c r="G215" s="147"/>
      <c r="H215" s="150"/>
      <c r="I215" s="152"/>
    </row>
    <row r="216" spans="1:9" ht="17.100000000000001" customHeight="1" x14ac:dyDescent="0.2">
      <c r="A216" s="149"/>
      <c r="B216" s="150"/>
      <c r="C216" s="147"/>
      <c r="D216" s="147"/>
      <c r="E216" s="147"/>
      <c r="F216" s="147"/>
      <c r="G216" s="147"/>
      <c r="H216" s="150"/>
      <c r="I216" s="152"/>
    </row>
    <row r="217" spans="1:9" ht="17.100000000000001" customHeight="1" x14ac:dyDescent="0.2">
      <c r="A217" s="149"/>
      <c r="B217" s="150"/>
      <c r="C217" s="150"/>
      <c r="D217" s="150"/>
      <c r="E217" s="150"/>
      <c r="F217" s="150"/>
      <c r="G217" s="150"/>
      <c r="H217" s="150"/>
      <c r="I217" s="152"/>
    </row>
    <row r="218" spans="1:9" ht="17.100000000000001" customHeight="1" x14ac:dyDescent="0.2">
      <c r="A218" s="149"/>
      <c r="B218" s="150"/>
      <c r="C218" s="150"/>
      <c r="D218" s="150"/>
      <c r="E218" s="150"/>
      <c r="F218" s="150"/>
      <c r="G218" s="150"/>
      <c r="H218" s="150"/>
      <c r="I218" s="152"/>
    </row>
    <row r="219" spans="1:9" ht="17.100000000000001" customHeight="1" x14ac:dyDescent="0.2">
      <c r="A219" s="308" t="s">
        <v>315</v>
      </c>
      <c r="B219" s="316"/>
      <c r="C219" s="316"/>
      <c r="D219" s="316"/>
      <c r="E219" s="316"/>
      <c r="F219" s="316"/>
      <c r="G219" s="316"/>
      <c r="H219" s="316"/>
      <c r="I219" s="309"/>
    </row>
    <row r="220" spans="1:9" ht="17.100000000000001" customHeight="1" x14ac:dyDescent="0.2">
      <c r="A220" s="310" t="s">
        <v>298</v>
      </c>
      <c r="B220" s="311"/>
      <c r="C220" s="311"/>
      <c r="D220" s="311"/>
      <c r="E220" s="311"/>
      <c r="F220" s="311"/>
      <c r="G220" s="311"/>
      <c r="H220" s="311"/>
      <c r="I220" s="312"/>
    </row>
  </sheetData>
  <mergeCells count="225">
    <mergeCell ref="K70:M70"/>
    <mergeCell ref="P70:Q70"/>
    <mergeCell ref="A109:I109"/>
    <mergeCell ref="B71:C71"/>
    <mergeCell ref="B73:C73"/>
    <mergeCell ref="B76:C76"/>
    <mergeCell ref="K73:L73"/>
    <mergeCell ref="B94:C94"/>
    <mergeCell ref="B101:C101"/>
    <mergeCell ref="B102:C102"/>
    <mergeCell ref="B97:C97"/>
    <mergeCell ref="B99:C99"/>
    <mergeCell ref="K80:L80"/>
    <mergeCell ref="B87:H87"/>
    <mergeCell ref="A89:I89"/>
    <mergeCell ref="J1:R1"/>
    <mergeCell ref="K36:L36"/>
    <mergeCell ref="K11:L11"/>
    <mergeCell ref="K13:L13"/>
    <mergeCell ref="K14:L14"/>
    <mergeCell ref="L16:P16"/>
    <mergeCell ref="J21:R21"/>
    <mergeCell ref="J22:R22"/>
    <mergeCell ref="J23:R23"/>
    <mergeCell ref="K27:L27"/>
    <mergeCell ref="K28:L28"/>
    <mergeCell ref="K29:L29"/>
    <mergeCell ref="K26:M26"/>
    <mergeCell ref="P26:Q26"/>
    <mergeCell ref="K4:M4"/>
    <mergeCell ref="K5:L5"/>
    <mergeCell ref="K6:L6"/>
    <mergeCell ref="K7:L7"/>
    <mergeCell ref="K8:L8"/>
    <mergeCell ref="K9:L9"/>
    <mergeCell ref="K10:L10"/>
    <mergeCell ref="P4:Q4"/>
    <mergeCell ref="J2:R2"/>
    <mergeCell ref="K31:L31"/>
    <mergeCell ref="A1:I1"/>
    <mergeCell ref="B4:D4"/>
    <mergeCell ref="G4:H4"/>
    <mergeCell ref="B8:C8"/>
    <mergeCell ref="B10:C10"/>
    <mergeCell ref="B9:C9"/>
    <mergeCell ref="B14:C14"/>
    <mergeCell ref="C16:G16"/>
    <mergeCell ref="B5:C5"/>
    <mergeCell ref="B7:C7"/>
    <mergeCell ref="B11:C11"/>
    <mergeCell ref="B13:C13"/>
    <mergeCell ref="B6:C6"/>
    <mergeCell ref="B65:H65"/>
    <mergeCell ref="B58:C58"/>
    <mergeCell ref="C60:G60"/>
    <mergeCell ref="B57:C57"/>
    <mergeCell ref="A21:I21"/>
    <mergeCell ref="A22:I22"/>
    <mergeCell ref="A23:I23"/>
    <mergeCell ref="B30:C30"/>
    <mergeCell ref="K30:L30"/>
    <mergeCell ref="K32:L32"/>
    <mergeCell ref="K33:L33"/>
    <mergeCell ref="K35:L35"/>
    <mergeCell ref="K51:L51"/>
    <mergeCell ref="B50:C50"/>
    <mergeCell ref="B51:C51"/>
    <mergeCell ref="J43:R43"/>
    <mergeCell ref="B32:C32"/>
    <mergeCell ref="L38:P38"/>
    <mergeCell ref="J45:R45"/>
    <mergeCell ref="J44:R44"/>
    <mergeCell ref="G48:H48"/>
    <mergeCell ref="B48:D48"/>
    <mergeCell ref="B44:H44"/>
    <mergeCell ref="A45:I45"/>
    <mergeCell ref="B52:C52"/>
    <mergeCell ref="B53:C53"/>
    <mergeCell ref="K48:M48"/>
    <mergeCell ref="K55:L55"/>
    <mergeCell ref="K57:L57"/>
    <mergeCell ref="B74:C74"/>
    <mergeCell ref="B70:D70"/>
    <mergeCell ref="G70:H70"/>
    <mergeCell ref="A2:I2"/>
    <mergeCell ref="B66:H66"/>
    <mergeCell ref="B55:C55"/>
    <mergeCell ref="A67:I67"/>
    <mergeCell ref="B27:C27"/>
    <mergeCell ref="B72:C72"/>
    <mergeCell ref="B36:C36"/>
    <mergeCell ref="C38:G38"/>
    <mergeCell ref="B29:C29"/>
    <mergeCell ref="B28:C28"/>
    <mergeCell ref="B26:D26"/>
    <mergeCell ref="G26:H26"/>
    <mergeCell ref="B35:C35"/>
    <mergeCell ref="B33:C33"/>
    <mergeCell ref="A24:I24"/>
    <mergeCell ref="A46:I46"/>
    <mergeCell ref="B31:C31"/>
    <mergeCell ref="A68:I68"/>
    <mergeCell ref="B49:C49"/>
    <mergeCell ref="B54:C54"/>
    <mergeCell ref="B43:H43"/>
    <mergeCell ref="B123:C123"/>
    <mergeCell ref="B124:C124"/>
    <mergeCell ref="C126:G126"/>
    <mergeCell ref="A131:I131"/>
    <mergeCell ref="B120:C120"/>
    <mergeCell ref="B114:D114"/>
    <mergeCell ref="G114:H114"/>
    <mergeCell ref="B115:C115"/>
    <mergeCell ref="B116:C116"/>
    <mergeCell ref="B75:C75"/>
    <mergeCell ref="B79:C79"/>
    <mergeCell ref="B92:D92"/>
    <mergeCell ref="G92:H92"/>
    <mergeCell ref="C104:G104"/>
    <mergeCell ref="A90:I90"/>
    <mergeCell ref="A111:I111"/>
    <mergeCell ref="B95:C95"/>
    <mergeCell ref="B96:C96"/>
    <mergeCell ref="B77:C77"/>
    <mergeCell ref="B137:C137"/>
    <mergeCell ref="B164:C164"/>
    <mergeCell ref="A132:I132"/>
    <mergeCell ref="B117:C117"/>
    <mergeCell ref="B118:C118"/>
    <mergeCell ref="B121:C121"/>
    <mergeCell ref="B119:C119"/>
    <mergeCell ref="C148:G148"/>
    <mergeCell ref="B145:C145"/>
    <mergeCell ref="B146:C146"/>
    <mergeCell ref="B138:C138"/>
    <mergeCell ref="B136:D136"/>
    <mergeCell ref="G136:H136"/>
    <mergeCell ref="A110:I110"/>
    <mergeCell ref="B88:H88"/>
    <mergeCell ref="B80:C80"/>
    <mergeCell ref="B98:C98"/>
    <mergeCell ref="C82:G82"/>
    <mergeCell ref="B93:C93"/>
    <mergeCell ref="C214:G214"/>
    <mergeCell ref="A219:I219"/>
    <mergeCell ref="A220:I220"/>
    <mergeCell ref="A199:I199"/>
    <mergeCell ref="B202:D202"/>
    <mergeCell ref="G202:H202"/>
    <mergeCell ref="B203:C203"/>
    <mergeCell ref="B204:C204"/>
    <mergeCell ref="B205:C205"/>
    <mergeCell ref="B206:C206"/>
    <mergeCell ref="B210:C210"/>
    <mergeCell ref="B211:C211"/>
    <mergeCell ref="B212:C212"/>
    <mergeCell ref="B209:C209"/>
    <mergeCell ref="B207:C207"/>
    <mergeCell ref="B208:C208"/>
    <mergeCell ref="A200:I200"/>
    <mergeCell ref="A178:I178"/>
    <mergeCell ref="B176:H176"/>
    <mergeCell ref="B142:C142"/>
    <mergeCell ref="B141:C141"/>
    <mergeCell ref="B139:C139"/>
    <mergeCell ref="B140:C140"/>
    <mergeCell ref="B160:C160"/>
    <mergeCell ref="B187:C187"/>
    <mergeCell ref="B189:C189"/>
    <mergeCell ref="B182:C182"/>
    <mergeCell ref="B183:C183"/>
    <mergeCell ref="B184:C184"/>
    <mergeCell ref="B185:C185"/>
    <mergeCell ref="B186:C186"/>
    <mergeCell ref="B181:C181"/>
    <mergeCell ref="G180:H180"/>
    <mergeCell ref="B180:D180"/>
    <mergeCell ref="B190:C190"/>
    <mergeCell ref="C192:G192"/>
    <mergeCell ref="A197:I197"/>
    <mergeCell ref="A198:I198"/>
    <mergeCell ref="B163:C163"/>
    <mergeCell ref="B162:C162"/>
    <mergeCell ref="B161:C161"/>
    <mergeCell ref="A112:I112"/>
    <mergeCell ref="A133:I133"/>
    <mergeCell ref="B159:C159"/>
    <mergeCell ref="A155:I155"/>
    <mergeCell ref="A153:I153"/>
    <mergeCell ref="A154:I154"/>
    <mergeCell ref="B143:C143"/>
    <mergeCell ref="B167:C167"/>
    <mergeCell ref="B158:D158"/>
    <mergeCell ref="G158:H158"/>
    <mergeCell ref="A134:I134"/>
    <mergeCell ref="A156:I156"/>
    <mergeCell ref="A177:I177"/>
    <mergeCell ref="B165:C165"/>
    <mergeCell ref="B168:C168"/>
    <mergeCell ref="C170:G170"/>
    <mergeCell ref="B175:H175"/>
    <mergeCell ref="J68:R68"/>
    <mergeCell ref="J46:R46"/>
    <mergeCell ref="L82:P82"/>
    <mergeCell ref="J87:R87"/>
    <mergeCell ref="J88:R88"/>
    <mergeCell ref="J24:R24"/>
    <mergeCell ref="J67:R67"/>
    <mergeCell ref="J66:R66"/>
    <mergeCell ref="P48:Q48"/>
    <mergeCell ref="K49:L49"/>
    <mergeCell ref="K50:L50"/>
    <mergeCell ref="K52:L52"/>
    <mergeCell ref="K53:L53"/>
    <mergeCell ref="K54:L54"/>
    <mergeCell ref="K71:L71"/>
    <mergeCell ref="K72:L72"/>
    <mergeCell ref="K58:L58"/>
    <mergeCell ref="L60:P60"/>
    <mergeCell ref="J65:R65"/>
    <mergeCell ref="K74:L74"/>
    <mergeCell ref="K75:L75"/>
    <mergeCell ref="K76:L76"/>
    <mergeCell ref="K77:L77"/>
    <mergeCell ref="K79:L79"/>
  </mergeCells>
  <phoneticPr fontId="37" type="noConversion"/>
  <pageMargins left="0.23622047244094491" right="0" top="0.31496062992125984" bottom="0" header="0" footer="0"/>
  <pageSetup paperSize="11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I22"/>
  <sheetViews>
    <sheetView zoomScale="80" zoomScaleNormal="80" workbookViewId="0">
      <selection activeCell="E12" sqref="E12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9" width="5.625" style="145" customWidth="1"/>
    <col min="10" max="16384" width="9" style="145"/>
  </cols>
  <sheetData>
    <row r="1" spans="1:9" ht="17.100000000000001" customHeight="1" x14ac:dyDescent="0.2">
      <c r="A1" s="313" t="str">
        <f>ขร2!J133</f>
        <v>โรงพยาบาลสามโคก  ประจำเดือน  พฤศจิกายน  2568</v>
      </c>
      <c r="B1" s="314"/>
      <c r="C1" s="314"/>
      <c r="D1" s="314"/>
      <c r="E1" s="314"/>
      <c r="F1" s="314"/>
      <c r="G1" s="314"/>
      <c r="H1" s="314"/>
      <c r="I1" s="315"/>
    </row>
    <row r="2" spans="1:9" ht="17.100000000000001" customHeight="1" x14ac:dyDescent="0.2">
      <c r="A2" s="308" t="s">
        <v>173</v>
      </c>
      <c r="B2" s="307"/>
      <c r="C2" s="307"/>
      <c r="D2" s="307"/>
      <c r="E2" s="307"/>
      <c r="F2" s="307"/>
      <c r="G2" s="307"/>
      <c r="H2" s="307"/>
      <c r="I2" s="309"/>
    </row>
    <row r="3" spans="1:9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</row>
    <row r="4" spans="1:9" ht="17.100000000000001" customHeight="1" x14ac:dyDescent="0.2">
      <c r="A4" s="149"/>
      <c r="B4" s="307" t="s">
        <v>9</v>
      </c>
      <c r="C4" s="307"/>
      <c r="D4" s="307"/>
      <c r="E4" s="147"/>
      <c r="F4" s="147"/>
      <c r="G4" s="307" t="s">
        <v>10</v>
      </c>
      <c r="H4" s="307"/>
      <c r="I4" s="152"/>
    </row>
    <row r="5" spans="1:9" ht="17.100000000000001" customHeight="1" x14ac:dyDescent="0.2">
      <c r="A5" s="149"/>
      <c r="B5" s="306" t="s">
        <v>3</v>
      </c>
      <c r="C5" s="306"/>
      <c r="D5" s="154">
        <f>ข้าราชการ!E97</f>
        <v>0</v>
      </c>
      <c r="E5" s="154"/>
      <c r="F5" s="155"/>
      <c r="G5" s="150" t="s">
        <v>99</v>
      </c>
      <c r="H5" s="154">
        <f>ข้าราชการ!N97</f>
        <v>0</v>
      </c>
      <c r="I5" s="152"/>
    </row>
    <row r="6" spans="1:9" ht="17.100000000000001" customHeight="1" x14ac:dyDescent="0.2">
      <c r="A6" s="149"/>
      <c r="B6" s="306" t="s">
        <v>106</v>
      </c>
      <c r="C6" s="306"/>
      <c r="D6" s="154">
        <f>ข้าราชการ!F97</f>
        <v>0</v>
      </c>
      <c r="E6" s="154"/>
      <c r="F6" s="155"/>
      <c r="G6" s="150" t="s">
        <v>53</v>
      </c>
      <c r="H6" s="154">
        <f>ข้าราชการ!O97</f>
        <v>0</v>
      </c>
      <c r="I6" s="152"/>
    </row>
    <row r="7" spans="1:9" ht="17.100000000000001" customHeight="1" x14ac:dyDescent="0.2">
      <c r="A7" s="149"/>
      <c r="B7" s="306" t="s">
        <v>107</v>
      </c>
      <c r="C7" s="306"/>
      <c r="D7" s="154">
        <f>ข้าราชการ!G97</f>
        <v>0</v>
      </c>
      <c r="E7" s="154"/>
      <c r="F7" s="155"/>
      <c r="G7" s="150" t="s">
        <v>54</v>
      </c>
      <c r="H7" s="154">
        <f>ข้าราชการ!P97</f>
        <v>0</v>
      </c>
      <c r="I7" s="152"/>
    </row>
    <row r="8" spans="1:9" ht="17.100000000000001" customHeight="1" x14ac:dyDescent="0.2">
      <c r="A8" s="149"/>
      <c r="B8" s="306" t="s">
        <v>130</v>
      </c>
      <c r="C8" s="306"/>
      <c r="D8" s="154">
        <f>ข้าราชการ!H97</f>
        <v>0</v>
      </c>
      <c r="E8" s="154"/>
      <c r="F8" s="155"/>
      <c r="G8" s="150" t="s">
        <v>100</v>
      </c>
      <c r="H8" s="154">
        <f>ข้าราชการ!Q97</f>
        <v>0</v>
      </c>
      <c r="I8" s="152"/>
    </row>
    <row r="9" spans="1:9" ht="17.100000000000001" customHeight="1" x14ac:dyDescent="0.2">
      <c r="A9" s="149"/>
      <c r="B9" s="306" t="s">
        <v>661</v>
      </c>
      <c r="C9" s="306"/>
      <c r="D9" s="154">
        <f>ลจ.ประจำ!I8</f>
        <v>10</v>
      </c>
      <c r="E9" s="154"/>
      <c r="F9" s="155"/>
      <c r="G9" s="150" t="s">
        <v>55</v>
      </c>
      <c r="H9" s="156">
        <f>ข้าราชการ!R97</f>
        <v>0</v>
      </c>
      <c r="I9" s="152"/>
    </row>
    <row r="10" spans="1:9" ht="17.100000000000001" customHeight="1" x14ac:dyDescent="0.2">
      <c r="A10" s="149"/>
      <c r="B10" s="318" t="s">
        <v>119</v>
      </c>
      <c r="C10" s="318"/>
      <c r="D10" s="154">
        <f>ลจ.ประจำ!J8</f>
        <v>0</v>
      </c>
      <c r="E10" s="154"/>
      <c r="F10" s="155"/>
      <c r="G10" s="153" t="s">
        <v>137</v>
      </c>
      <c r="H10" s="156">
        <f>ข้าราชการ!S97</f>
        <v>0</v>
      </c>
      <c r="I10" s="152"/>
    </row>
    <row r="11" spans="1:9" ht="17.100000000000001" customHeight="1" x14ac:dyDescent="0.2">
      <c r="A11" s="149"/>
      <c r="B11" s="306" t="s">
        <v>5</v>
      </c>
      <c r="C11" s="306"/>
      <c r="D11" s="154">
        <f>ลจ.ประจำ!K8</f>
        <v>0</v>
      </c>
      <c r="E11" s="154"/>
      <c r="F11" s="155"/>
      <c r="G11" s="150" t="s">
        <v>56</v>
      </c>
      <c r="H11" s="156">
        <f>ข้าราชการ!T97</f>
        <v>0</v>
      </c>
      <c r="I11" s="152"/>
    </row>
    <row r="12" spans="1:9" ht="17.100000000000001" customHeight="1" x14ac:dyDescent="0.2">
      <c r="A12" s="149"/>
      <c r="B12" s="150" t="s">
        <v>6</v>
      </c>
      <c r="C12" s="150"/>
      <c r="D12" s="154">
        <f>ลจ.ประจำ!L8</f>
        <v>0</v>
      </c>
      <c r="E12" s="154"/>
      <c r="F12" s="155"/>
      <c r="G12" s="150" t="s">
        <v>57</v>
      </c>
      <c r="H12" s="156">
        <f>ข้าราชการ!U97</f>
        <v>0</v>
      </c>
      <c r="I12" s="152"/>
    </row>
    <row r="13" spans="1:9" ht="17.100000000000001" customHeight="1" x14ac:dyDescent="0.2">
      <c r="A13" s="149"/>
      <c r="B13" s="306" t="s">
        <v>7</v>
      </c>
      <c r="C13" s="306"/>
      <c r="D13" s="154">
        <f>ลจ.ประจำ!M8</f>
        <v>0</v>
      </c>
      <c r="E13" s="154"/>
      <c r="F13" s="155"/>
      <c r="G13" s="150"/>
      <c r="H13" s="154"/>
      <c r="I13" s="152"/>
    </row>
    <row r="14" spans="1:9" ht="17.100000000000001" customHeight="1" x14ac:dyDescent="0.2">
      <c r="A14" s="149"/>
      <c r="B14" s="307" t="s">
        <v>101</v>
      </c>
      <c r="C14" s="307"/>
      <c r="D14" s="154">
        <f>SUM(D5:D13)</f>
        <v>10</v>
      </c>
      <c r="E14" s="157"/>
      <c r="F14" s="157"/>
      <c r="G14" s="147" t="s">
        <v>102</v>
      </c>
      <c r="H14" s="157">
        <f>SUM(H5:H13)</f>
        <v>0</v>
      </c>
      <c r="I14" s="152"/>
    </row>
    <row r="15" spans="1:9" ht="17.100000000000001" customHeight="1" x14ac:dyDescent="0.2">
      <c r="A15" s="149"/>
      <c r="B15" s="150"/>
      <c r="C15" s="147" t="s">
        <v>103</v>
      </c>
      <c r="D15" s="157">
        <f>D14-H14</f>
        <v>10</v>
      </c>
      <c r="E15" s="157"/>
      <c r="F15" s="158" t="s">
        <v>104</v>
      </c>
      <c r="H15" s="150"/>
      <c r="I15" s="152"/>
    </row>
    <row r="16" spans="1:9" ht="17.100000000000001" customHeight="1" x14ac:dyDescent="0.2">
      <c r="A16" s="149"/>
      <c r="B16" s="150"/>
      <c r="C16" s="307" t="str">
        <f>"("&amp;BAHTTEXT(D15)&amp;")"</f>
        <v>(สิบบาทถ้วน)</v>
      </c>
      <c r="D16" s="307"/>
      <c r="E16" s="307"/>
      <c r="F16" s="307"/>
      <c r="G16" s="307"/>
      <c r="H16" s="150"/>
      <c r="I16" s="152"/>
    </row>
    <row r="17" spans="1:9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</row>
    <row r="18" spans="1:9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</row>
    <row r="19" spans="1:9" ht="17.100000000000001" customHeight="1" x14ac:dyDescent="0.2">
      <c r="A19" s="149"/>
      <c r="B19" s="150"/>
      <c r="C19" s="150"/>
      <c r="D19" s="150"/>
      <c r="E19" s="150"/>
      <c r="F19" s="150"/>
      <c r="G19" s="150"/>
      <c r="H19" s="150"/>
      <c r="I19" s="152"/>
    </row>
    <row r="20" spans="1:9" ht="17.100000000000001" customHeight="1" x14ac:dyDescent="0.2">
      <c r="A20" s="149"/>
      <c r="I20" s="152"/>
    </row>
    <row r="21" spans="1:9" ht="17.100000000000001" customHeight="1" x14ac:dyDescent="0.2">
      <c r="A21" s="308" t="s">
        <v>315</v>
      </c>
      <c r="B21" s="307"/>
      <c r="C21" s="307"/>
      <c r="D21" s="307"/>
      <c r="E21" s="307"/>
      <c r="F21" s="307"/>
      <c r="G21" s="307"/>
      <c r="H21" s="307"/>
      <c r="I21" s="309"/>
    </row>
    <row r="22" spans="1:9" ht="17.100000000000001" customHeight="1" x14ac:dyDescent="0.2">
      <c r="A22" s="310" t="s">
        <v>298</v>
      </c>
      <c r="B22" s="311"/>
      <c r="C22" s="311"/>
      <c r="D22" s="311"/>
      <c r="E22" s="311"/>
      <c r="F22" s="311"/>
      <c r="G22" s="311"/>
      <c r="H22" s="311"/>
      <c r="I22" s="312"/>
    </row>
  </sheetData>
  <mergeCells count="16">
    <mergeCell ref="A1:I1"/>
    <mergeCell ref="A2:I2"/>
    <mergeCell ref="B4:D4"/>
    <mergeCell ref="G4:H4"/>
    <mergeCell ref="B5:C5"/>
    <mergeCell ref="A22:I22"/>
    <mergeCell ref="B6:C6"/>
    <mergeCell ref="B13:C13"/>
    <mergeCell ref="B14:C14"/>
    <mergeCell ref="C16:G16"/>
    <mergeCell ref="A21:I21"/>
    <mergeCell ref="B8:C8"/>
    <mergeCell ref="B9:C9"/>
    <mergeCell ref="B10:C10"/>
    <mergeCell ref="B11:C11"/>
    <mergeCell ref="B7:C7"/>
  </mergeCells>
  <pageMargins left="0.23622047244094491" right="0" top="0.31496062992125984" bottom="0" header="0" footer="0"/>
  <pageSetup paperSize="11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C8EEF"/>
  </sheetPr>
  <dimension ref="A1:I88"/>
  <sheetViews>
    <sheetView topLeftCell="A55" zoomScale="80" zoomScaleNormal="80" workbookViewId="0">
      <selection activeCell="O51" sqref="O51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9" width="5.625" style="145" customWidth="1"/>
    <col min="10" max="16384" width="9" style="145"/>
  </cols>
  <sheetData>
    <row r="1" spans="1:9" ht="17.100000000000001" customHeight="1" x14ac:dyDescent="0.2">
      <c r="A1" s="313" t="str">
        <f>ขร1!A1:I1</f>
        <v>โรงพยาบาลสามโคก  ประจำเดือน  พฤศจิกายน  2568</v>
      </c>
      <c r="B1" s="314"/>
      <c r="C1" s="314"/>
      <c r="D1" s="314"/>
      <c r="E1" s="314"/>
      <c r="F1" s="314"/>
      <c r="G1" s="314"/>
      <c r="H1" s="314"/>
      <c r="I1" s="315"/>
    </row>
    <row r="2" spans="1:9" ht="17.100000000000001" customHeight="1" x14ac:dyDescent="0.2">
      <c r="A2" s="308" t="s">
        <v>172</v>
      </c>
      <c r="B2" s="307"/>
      <c r="C2" s="307"/>
      <c r="D2" s="307"/>
      <c r="E2" s="307"/>
      <c r="F2" s="307"/>
      <c r="G2" s="307"/>
      <c r="H2" s="307"/>
      <c r="I2" s="309"/>
    </row>
    <row r="3" spans="1:9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</row>
    <row r="4" spans="1:9" ht="17.100000000000001" customHeight="1" x14ac:dyDescent="0.2">
      <c r="A4" s="149"/>
      <c r="B4" s="307" t="s">
        <v>9</v>
      </c>
      <c r="C4" s="307"/>
      <c r="D4" s="307"/>
      <c r="E4" s="147"/>
      <c r="F4" s="147"/>
      <c r="G4" s="307" t="s">
        <v>10</v>
      </c>
      <c r="H4" s="307"/>
      <c r="I4" s="152"/>
    </row>
    <row r="5" spans="1:9" ht="17.100000000000001" customHeight="1" x14ac:dyDescent="0.2">
      <c r="A5" s="149"/>
      <c r="B5" s="306" t="s">
        <v>3</v>
      </c>
      <c r="C5" s="306"/>
      <c r="D5" s="154">
        <f>พนักงาน!E8</f>
        <v>0</v>
      </c>
      <c r="E5" s="154"/>
      <c r="F5" s="155"/>
      <c r="G5" s="150" t="s">
        <v>99</v>
      </c>
      <c r="H5" s="154">
        <f>ลจ.ประจำ!N40</f>
        <v>0</v>
      </c>
      <c r="I5" s="152"/>
    </row>
    <row r="6" spans="1:9" ht="17.100000000000001" customHeight="1" x14ac:dyDescent="0.2">
      <c r="A6" s="149"/>
      <c r="B6" s="306" t="s">
        <v>106</v>
      </c>
      <c r="C6" s="306"/>
      <c r="D6" s="154">
        <f>ลจ.ประจำ!F40</f>
        <v>0</v>
      </c>
      <c r="E6" s="154"/>
      <c r="F6" s="155"/>
      <c r="G6" s="150" t="s">
        <v>116</v>
      </c>
      <c r="H6" s="154">
        <f>พนักงาน!O8</f>
        <v>0</v>
      </c>
      <c r="I6" s="152"/>
    </row>
    <row r="7" spans="1:9" ht="17.100000000000001" customHeight="1" x14ac:dyDescent="0.2">
      <c r="A7" s="149"/>
      <c r="B7" s="306" t="s">
        <v>107</v>
      </c>
      <c r="C7" s="306"/>
      <c r="D7" s="154">
        <f>ลจ.ประจำ!G40</f>
        <v>0</v>
      </c>
      <c r="E7" s="154"/>
      <c r="F7" s="155"/>
      <c r="G7" s="150" t="s">
        <v>54</v>
      </c>
      <c r="H7" s="154">
        <f>พนักงาน!P8</f>
        <v>0</v>
      </c>
      <c r="I7" s="152"/>
    </row>
    <row r="8" spans="1:9" ht="17.100000000000001" customHeight="1" x14ac:dyDescent="0.2">
      <c r="A8" s="149"/>
      <c r="B8" s="306" t="s">
        <v>105</v>
      </c>
      <c r="C8" s="306"/>
      <c r="D8" s="154">
        <f>ลจ.ประจำ!H40</f>
        <v>0</v>
      </c>
      <c r="E8" s="154"/>
      <c r="F8" s="155"/>
      <c r="G8" s="150" t="s">
        <v>100</v>
      </c>
      <c r="H8" s="154">
        <f>พนักงาน!Q8</f>
        <v>0</v>
      </c>
      <c r="I8" s="152"/>
    </row>
    <row r="9" spans="1:9" ht="17.100000000000001" customHeight="1" x14ac:dyDescent="0.2">
      <c r="A9" s="149"/>
      <c r="B9" s="306" t="s">
        <v>661</v>
      </c>
      <c r="C9" s="306"/>
      <c r="D9" s="154">
        <f>พนักงาน!I8</f>
        <v>2</v>
      </c>
      <c r="E9" s="154"/>
      <c r="F9" s="155"/>
      <c r="G9" s="150" t="s">
        <v>55</v>
      </c>
      <c r="H9" s="156">
        <f>ลจ.ประจำ!R40</f>
        <v>0</v>
      </c>
      <c r="I9" s="152"/>
    </row>
    <row r="10" spans="1:9" ht="17.100000000000001" customHeight="1" x14ac:dyDescent="0.2">
      <c r="A10" s="149"/>
      <c r="B10" s="306" t="s">
        <v>662</v>
      </c>
      <c r="C10" s="306"/>
      <c r="D10" s="154">
        <f>พนักงาน!J8</f>
        <v>3</v>
      </c>
      <c r="E10" s="154"/>
      <c r="F10" s="155"/>
      <c r="G10" s="153" t="s">
        <v>137</v>
      </c>
      <c r="H10" s="156">
        <f>ข้าราชการ!AB85</f>
        <v>0</v>
      </c>
      <c r="I10" s="152"/>
    </row>
    <row r="11" spans="1:9" ht="17.100000000000001" customHeight="1" x14ac:dyDescent="0.2">
      <c r="A11" s="149"/>
      <c r="B11" s="306" t="s">
        <v>5</v>
      </c>
      <c r="C11" s="306"/>
      <c r="D11" s="154">
        <f>พนักงาน!K8</f>
        <v>0</v>
      </c>
      <c r="E11" s="154"/>
      <c r="F11" s="155"/>
      <c r="G11" s="150" t="s">
        <v>56</v>
      </c>
      <c r="H11" s="156">
        <f>ลจ.ประจำ!T40</f>
        <v>0</v>
      </c>
      <c r="I11" s="152"/>
    </row>
    <row r="12" spans="1:9" ht="17.100000000000001" customHeight="1" x14ac:dyDescent="0.2">
      <c r="A12" s="149"/>
      <c r="B12" s="150" t="s">
        <v>6</v>
      </c>
      <c r="C12" s="150"/>
      <c r="D12" s="154">
        <f>ลจ.ประจำ!L40</f>
        <v>0</v>
      </c>
      <c r="E12" s="154"/>
      <c r="F12" s="155"/>
      <c r="G12" s="150" t="s">
        <v>57</v>
      </c>
      <c r="H12" s="156">
        <f>ลจ.ประจำ!U40</f>
        <v>0</v>
      </c>
      <c r="I12" s="152"/>
    </row>
    <row r="13" spans="1:9" ht="17.100000000000001" customHeight="1" x14ac:dyDescent="0.2">
      <c r="A13" s="149"/>
      <c r="B13" s="306" t="s">
        <v>7</v>
      </c>
      <c r="C13" s="306"/>
      <c r="D13" s="154">
        <f>ลจ.ประจำ!M40</f>
        <v>0</v>
      </c>
      <c r="E13" s="154"/>
      <c r="F13" s="155"/>
      <c r="G13" s="150"/>
      <c r="H13" s="154"/>
      <c r="I13" s="152"/>
    </row>
    <row r="14" spans="1:9" ht="17.100000000000001" customHeight="1" x14ac:dyDescent="0.2">
      <c r="A14" s="149"/>
      <c r="B14" s="307" t="s">
        <v>101</v>
      </c>
      <c r="C14" s="307"/>
      <c r="D14" s="157">
        <f>SUM(D5:D13)</f>
        <v>5</v>
      </c>
      <c r="E14" s="157"/>
      <c r="F14" s="157"/>
      <c r="G14" s="147" t="s">
        <v>102</v>
      </c>
      <c r="H14" s="157">
        <f>SUM(H5:H13)</f>
        <v>0</v>
      </c>
      <c r="I14" s="152"/>
    </row>
    <row r="15" spans="1:9" ht="17.100000000000001" customHeight="1" x14ac:dyDescent="0.2">
      <c r="A15" s="149"/>
      <c r="B15" s="150"/>
      <c r="C15" s="147" t="s">
        <v>103</v>
      </c>
      <c r="D15" s="157">
        <f>D14-H14</f>
        <v>5</v>
      </c>
      <c r="E15" s="157"/>
      <c r="F15" s="158" t="s">
        <v>104</v>
      </c>
      <c r="H15" s="150"/>
      <c r="I15" s="152"/>
    </row>
    <row r="16" spans="1:9" ht="17.100000000000001" customHeight="1" x14ac:dyDescent="0.2">
      <c r="A16" s="149"/>
      <c r="B16" s="150"/>
      <c r="C16" s="307" t="str">
        <f>"("&amp;BAHTTEXT(D15)&amp;")"</f>
        <v>(ห้าบาทถ้วน)</v>
      </c>
      <c r="D16" s="307"/>
      <c r="E16" s="307"/>
      <c r="F16" s="307"/>
      <c r="G16" s="307"/>
      <c r="H16" s="150"/>
      <c r="I16" s="152"/>
    </row>
    <row r="17" spans="1:9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</row>
    <row r="18" spans="1:9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</row>
    <row r="19" spans="1:9" ht="17.100000000000001" customHeight="1" x14ac:dyDescent="0.2">
      <c r="A19" s="149"/>
      <c r="B19" s="150"/>
      <c r="C19" s="150"/>
      <c r="D19" s="150"/>
      <c r="E19" s="150"/>
      <c r="F19" s="150"/>
      <c r="G19" s="150"/>
      <c r="H19" s="150"/>
      <c r="I19" s="152"/>
    </row>
    <row r="20" spans="1:9" ht="17.100000000000001" customHeight="1" x14ac:dyDescent="0.2">
      <c r="A20" s="149"/>
      <c r="I20" s="152"/>
    </row>
    <row r="21" spans="1:9" ht="17.100000000000001" customHeight="1" x14ac:dyDescent="0.2">
      <c r="A21" s="308" t="s">
        <v>315</v>
      </c>
      <c r="B21" s="307"/>
      <c r="C21" s="307"/>
      <c r="D21" s="307"/>
      <c r="E21" s="307"/>
      <c r="F21" s="307"/>
      <c r="G21" s="307"/>
      <c r="H21" s="307"/>
      <c r="I21" s="309"/>
    </row>
    <row r="22" spans="1:9" ht="17.100000000000001" customHeight="1" x14ac:dyDescent="0.2">
      <c r="A22" s="310" t="s">
        <v>298</v>
      </c>
      <c r="B22" s="311"/>
      <c r="C22" s="311"/>
      <c r="D22" s="311"/>
      <c r="E22" s="311"/>
      <c r="F22" s="311"/>
      <c r="G22" s="311"/>
      <c r="H22" s="311"/>
      <c r="I22" s="312"/>
    </row>
    <row r="23" spans="1:9" ht="17.100000000000001" customHeight="1" x14ac:dyDescent="0.2">
      <c r="A23" s="313" t="str">
        <f>พกส.1!J133</f>
        <v>โรงพยาบาลสามโคก  ประจำเดือน  พฤศจิกายน  2568</v>
      </c>
      <c r="B23" s="314"/>
      <c r="C23" s="314"/>
      <c r="D23" s="314"/>
      <c r="E23" s="314"/>
      <c r="F23" s="314"/>
      <c r="G23" s="314"/>
      <c r="H23" s="314"/>
      <c r="I23" s="315"/>
    </row>
    <row r="24" spans="1:9" ht="17.100000000000001" customHeight="1" x14ac:dyDescent="0.2">
      <c r="A24" s="308" t="s">
        <v>297</v>
      </c>
      <c r="B24" s="307"/>
      <c r="C24" s="307"/>
      <c r="D24" s="307"/>
      <c r="E24" s="307"/>
      <c r="F24" s="307"/>
      <c r="G24" s="307"/>
      <c r="H24" s="307"/>
      <c r="I24" s="309"/>
    </row>
    <row r="25" spans="1:9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</row>
    <row r="26" spans="1:9" ht="17.100000000000001" customHeight="1" x14ac:dyDescent="0.2">
      <c r="A26" s="149"/>
      <c r="B26" s="307" t="s">
        <v>9</v>
      </c>
      <c r="C26" s="307"/>
      <c r="D26" s="307"/>
      <c r="E26" s="147"/>
      <c r="F26" s="147"/>
      <c r="G26" s="307" t="s">
        <v>10</v>
      </c>
      <c r="H26" s="307"/>
      <c r="I26" s="152"/>
    </row>
    <row r="27" spans="1:9" ht="17.100000000000001" customHeight="1" x14ac:dyDescent="0.2">
      <c r="A27" s="149"/>
      <c r="B27" s="306" t="s">
        <v>3</v>
      </c>
      <c r="C27" s="306"/>
      <c r="D27" s="154">
        <f>พนักงาน!E9</f>
        <v>0</v>
      </c>
      <c r="E27" s="154"/>
      <c r="F27" s="155"/>
      <c r="G27" s="150" t="s">
        <v>99</v>
      </c>
      <c r="H27" s="154">
        <v>0</v>
      </c>
      <c r="I27" s="169"/>
    </row>
    <row r="28" spans="1:9" ht="17.100000000000001" customHeight="1" x14ac:dyDescent="0.2">
      <c r="A28" s="149"/>
      <c r="B28" s="306" t="s">
        <v>106</v>
      </c>
      <c r="C28" s="306"/>
      <c r="D28" s="154">
        <v>0</v>
      </c>
      <c r="E28" s="154"/>
      <c r="F28" s="155"/>
      <c r="G28" s="150" t="s">
        <v>116</v>
      </c>
      <c r="H28" s="154">
        <f>พนักงาน!O9</f>
        <v>0</v>
      </c>
      <c r="I28" s="169"/>
    </row>
    <row r="29" spans="1:9" ht="17.100000000000001" customHeight="1" x14ac:dyDescent="0.2">
      <c r="A29" s="149"/>
      <c r="B29" s="306" t="s">
        <v>107</v>
      </c>
      <c r="C29" s="306"/>
      <c r="D29" s="154">
        <v>0</v>
      </c>
      <c r="E29" s="154"/>
      <c r="F29" s="155"/>
      <c r="G29" s="150" t="s">
        <v>54</v>
      </c>
      <c r="H29" s="154">
        <f>รายเดือน!P8</f>
        <v>0</v>
      </c>
      <c r="I29" s="169"/>
    </row>
    <row r="30" spans="1:9" ht="17.100000000000001" customHeight="1" x14ac:dyDescent="0.2">
      <c r="A30" s="149"/>
      <c r="B30" s="306" t="s">
        <v>105</v>
      </c>
      <c r="C30" s="306"/>
      <c r="D30" s="154">
        <v>0</v>
      </c>
      <c r="E30" s="154"/>
      <c r="F30" s="155"/>
      <c r="G30" s="150" t="s">
        <v>100</v>
      </c>
      <c r="H30" s="154">
        <v>0</v>
      </c>
      <c r="I30" s="169"/>
    </row>
    <row r="31" spans="1:9" ht="17.100000000000001" customHeight="1" x14ac:dyDescent="0.2">
      <c r="A31" s="149"/>
      <c r="B31" s="306" t="s">
        <v>291</v>
      </c>
      <c r="C31" s="306"/>
      <c r="D31" s="154">
        <f>พนักงาน!I9</f>
        <v>0</v>
      </c>
      <c r="E31" s="154"/>
      <c r="F31" s="155"/>
      <c r="G31" s="150" t="s">
        <v>55</v>
      </c>
      <c r="H31" s="156">
        <f>พนักงาน!R9</f>
        <v>0</v>
      </c>
      <c r="I31" s="169"/>
    </row>
    <row r="32" spans="1:9" ht="17.100000000000001" customHeight="1" x14ac:dyDescent="0.2">
      <c r="A32" s="149"/>
      <c r="B32" s="306" t="s">
        <v>662</v>
      </c>
      <c r="C32" s="306"/>
      <c r="D32" s="154">
        <f>พนักงาน!J9</f>
        <v>0</v>
      </c>
      <c r="E32" s="154"/>
      <c r="F32" s="155"/>
      <c r="G32" s="150" t="s">
        <v>377</v>
      </c>
      <c r="H32" s="156">
        <f>พนักงาน!S9</f>
        <v>0</v>
      </c>
      <c r="I32" s="169"/>
    </row>
    <row r="33" spans="1:9" ht="17.100000000000001" customHeight="1" x14ac:dyDescent="0.2">
      <c r="A33" s="149"/>
      <c r="B33" s="306" t="s">
        <v>5</v>
      </c>
      <c r="C33" s="306"/>
      <c r="D33" s="154">
        <f>พนักงาน!K9</f>
        <v>0</v>
      </c>
      <c r="E33" s="154"/>
      <c r="F33" s="155"/>
      <c r="G33" s="150" t="s">
        <v>56</v>
      </c>
      <c r="H33" s="156">
        <f>รายเดือน!T8</f>
        <v>0</v>
      </c>
      <c r="I33" s="169"/>
    </row>
    <row r="34" spans="1:9" ht="17.100000000000001" customHeight="1" x14ac:dyDescent="0.2">
      <c r="A34" s="149"/>
      <c r="B34" s="306" t="s">
        <v>6</v>
      </c>
      <c r="C34" s="306"/>
      <c r="D34" s="154">
        <v>0</v>
      </c>
      <c r="E34" s="154"/>
      <c r="F34" s="155"/>
      <c r="G34" s="150" t="s">
        <v>57</v>
      </c>
      <c r="H34" s="156">
        <f>รายเดือน!U8</f>
        <v>0</v>
      </c>
      <c r="I34" s="169"/>
    </row>
    <row r="35" spans="1:9" ht="17.100000000000001" customHeight="1" x14ac:dyDescent="0.2">
      <c r="A35" s="149"/>
      <c r="B35" s="306" t="s">
        <v>7</v>
      </c>
      <c r="C35" s="306"/>
      <c r="D35" s="154">
        <v>0</v>
      </c>
      <c r="E35" s="154"/>
      <c r="F35" s="155"/>
      <c r="G35" s="150"/>
      <c r="H35" s="154"/>
      <c r="I35" s="169"/>
    </row>
    <row r="36" spans="1:9" ht="17.100000000000001" customHeight="1" x14ac:dyDescent="0.2">
      <c r="A36" s="149"/>
      <c r="B36" s="307" t="s">
        <v>117</v>
      </c>
      <c r="C36" s="307"/>
      <c r="D36" s="157">
        <f>SUM(D27:D35)</f>
        <v>0</v>
      </c>
      <c r="E36" s="157"/>
      <c r="F36" s="157"/>
      <c r="G36" s="147" t="s">
        <v>118</v>
      </c>
      <c r="H36" s="157">
        <f>SUM(H27:H35)</f>
        <v>0</v>
      </c>
      <c r="I36" s="169"/>
    </row>
    <row r="37" spans="1:9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</row>
    <row r="38" spans="1:9" ht="17.100000000000001" customHeight="1" x14ac:dyDescent="0.2">
      <c r="A38" s="149"/>
      <c r="B38" s="150"/>
      <c r="C38" s="307" t="str">
        <f>"("&amp;BAHTTEXT(D37)&amp;")"</f>
        <v>(ศูนย์บาทถ้วน)</v>
      </c>
      <c r="D38" s="307"/>
      <c r="E38" s="307"/>
      <c r="F38" s="307"/>
      <c r="G38" s="307"/>
      <c r="H38" s="150"/>
      <c r="I38" s="152"/>
    </row>
    <row r="39" spans="1:9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</row>
    <row r="40" spans="1:9" ht="17.100000000000001" customHeight="1" x14ac:dyDescent="0.2">
      <c r="A40" s="149"/>
      <c r="B40" s="150"/>
      <c r="C40" s="147"/>
      <c r="D40" s="147"/>
      <c r="E40" s="147"/>
      <c r="F40" s="147"/>
      <c r="G40" s="147"/>
      <c r="H40" s="150"/>
      <c r="I40" s="152"/>
    </row>
    <row r="41" spans="1:9" ht="17.100000000000001" customHeight="1" x14ac:dyDescent="0.2">
      <c r="A41" s="149"/>
      <c r="B41" s="150"/>
      <c r="C41" s="147"/>
      <c r="D41" s="147"/>
      <c r="E41" s="147"/>
      <c r="F41" s="147"/>
      <c r="G41" s="147"/>
      <c r="H41" s="150"/>
      <c r="I41" s="152"/>
    </row>
    <row r="42" spans="1:9" ht="17.100000000000001" customHeight="1" x14ac:dyDescent="0.2">
      <c r="A42" s="149"/>
      <c r="B42" s="150"/>
      <c r="C42" s="150"/>
      <c r="D42" s="150"/>
      <c r="E42" s="150"/>
      <c r="F42" s="150"/>
      <c r="G42" s="150"/>
      <c r="H42" s="150"/>
      <c r="I42" s="152"/>
    </row>
    <row r="43" spans="1:9" ht="17.100000000000001" customHeight="1" x14ac:dyDescent="0.2">
      <c r="A43" s="308" t="s">
        <v>315</v>
      </c>
      <c r="B43" s="307"/>
      <c r="C43" s="307"/>
      <c r="D43" s="307"/>
      <c r="E43" s="307"/>
      <c r="F43" s="307"/>
      <c r="G43" s="307"/>
      <c r="H43" s="307"/>
      <c r="I43" s="309"/>
    </row>
    <row r="44" spans="1:9" ht="17.100000000000001" customHeight="1" x14ac:dyDescent="0.2">
      <c r="A44" s="310" t="s">
        <v>298</v>
      </c>
      <c r="B44" s="311"/>
      <c r="C44" s="311"/>
      <c r="D44" s="311"/>
      <c r="E44" s="311"/>
      <c r="F44" s="311"/>
      <c r="G44" s="311"/>
      <c r="H44" s="311"/>
      <c r="I44" s="312"/>
    </row>
    <row r="45" spans="1:9" ht="17.100000000000001" customHeight="1" x14ac:dyDescent="0.2">
      <c r="A45" s="313" t="str">
        <f>พกส.1!J155</f>
        <v>โรงพยาบาลสามโคก  ประจำเดือน  พฤศจิกายน  2568</v>
      </c>
      <c r="B45" s="314"/>
      <c r="C45" s="314"/>
      <c r="D45" s="314"/>
      <c r="E45" s="314"/>
      <c r="F45" s="314"/>
      <c r="G45" s="314"/>
      <c r="H45" s="314"/>
      <c r="I45" s="315"/>
    </row>
    <row r="46" spans="1:9" ht="17.100000000000001" customHeight="1" x14ac:dyDescent="0.2">
      <c r="A46" s="308" t="s">
        <v>519</v>
      </c>
      <c r="B46" s="307"/>
      <c r="C46" s="307"/>
      <c r="D46" s="307"/>
      <c r="E46" s="307"/>
      <c r="F46" s="307"/>
      <c r="G46" s="307"/>
      <c r="H46" s="307"/>
      <c r="I46" s="309"/>
    </row>
    <row r="47" spans="1:9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</row>
    <row r="48" spans="1:9" ht="17.100000000000001" customHeight="1" x14ac:dyDescent="0.2">
      <c r="A48" s="149"/>
      <c r="B48" s="307" t="s">
        <v>9</v>
      </c>
      <c r="C48" s="307"/>
      <c r="D48" s="307"/>
      <c r="E48" s="147"/>
      <c r="F48" s="147"/>
      <c r="G48" s="307" t="s">
        <v>10</v>
      </c>
      <c r="H48" s="307"/>
      <c r="I48" s="152"/>
    </row>
    <row r="49" spans="1:9" ht="17.100000000000001" customHeight="1" x14ac:dyDescent="0.2">
      <c r="A49" s="149"/>
      <c r="B49" s="306" t="s">
        <v>3</v>
      </c>
      <c r="C49" s="306"/>
      <c r="D49" s="154">
        <f>พนักงาน!E10</f>
        <v>0</v>
      </c>
      <c r="E49" s="154"/>
      <c r="F49" s="155"/>
      <c r="G49" s="150" t="s">
        <v>99</v>
      </c>
      <c r="H49" s="154">
        <v>0</v>
      </c>
      <c r="I49" s="169"/>
    </row>
    <row r="50" spans="1:9" ht="17.100000000000001" customHeight="1" x14ac:dyDescent="0.2">
      <c r="A50" s="149"/>
      <c r="B50" s="306" t="s">
        <v>106</v>
      </c>
      <c r="C50" s="306"/>
      <c r="D50" s="154">
        <v>0</v>
      </c>
      <c r="E50" s="154"/>
      <c r="F50" s="155"/>
      <c r="G50" s="150" t="s">
        <v>116</v>
      </c>
      <c r="H50" s="154">
        <f>พนักงาน!O10</f>
        <v>0</v>
      </c>
      <c r="I50" s="169"/>
    </row>
    <row r="51" spans="1:9" ht="17.100000000000001" customHeight="1" x14ac:dyDescent="0.2">
      <c r="A51" s="149"/>
      <c r="B51" s="306" t="s">
        <v>665</v>
      </c>
      <c r="C51" s="306"/>
      <c r="D51" s="154">
        <f>พนักงาน!G10</f>
        <v>0</v>
      </c>
      <c r="E51" s="154"/>
      <c r="F51" s="155"/>
      <c r="G51" s="150" t="s">
        <v>54</v>
      </c>
      <c r="H51" s="154">
        <f>รายเดือน!P30</f>
        <v>0</v>
      </c>
      <c r="I51" s="169"/>
    </row>
    <row r="52" spans="1:9" ht="17.100000000000001" customHeight="1" x14ac:dyDescent="0.2">
      <c r="A52" s="149"/>
      <c r="B52" s="306" t="s">
        <v>564</v>
      </c>
      <c r="C52" s="306"/>
      <c r="D52" s="154">
        <f>พนักงาน!H10</f>
        <v>0</v>
      </c>
      <c r="E52" s="154"/>
      <c r="F52" s="155"/>
      <c r="G52" s="150" t="s">
        <v>100</v>
      </c>
      <c r="H52" s="154">
        <v>0</v>
      </c>
      <c r="I52" s="169"/>
    </row>
    <row r="53" spans="1:9" ht="17.100000000000001" customHeight="1" x14ac:dyDescent="0.2">
      <c r="A53" s="149"/>
      <c r="B53" s="306" t="s">
        <v>291</v>
      </c>
      <c r="C53" s="306"/>
      <c r="D53" s="154">
        <f>พนักงาน!I10</f>
        <v>0</v>
      </c>
      <c r="E53" s="154"/>
      <c r="F53" s="155"/>
      <c r="G53" s="150" t="s">
        <v>55</v>
      </c>
      <c r="H53" s="156">
        <f>พนักงาน!R31</f>
        <v>0</v>
      </c>
      <c r="I53" s="169"/>
    </row>
    <row r="54" spans="1:9" ht="17.100000000000001" customHeight="1" x14ac:dyDescent="0.2">
      <c r="A54" s="149"/>
      <c r="B54" s="306" t="s">
        <v>662</v>
      </c>
      <c r="C54" s="306"/>
      <c r="D54" s="154">
        <f>พนักงาน!J10</f>
        <v>0</v>
      </c>
      <c r="E54" s="154"/>
      <c r="F54" s="155"/>
      <c r="G54" s="150" t="s">
        <v>377</v>
      </c>
      <c r="H54" s="156">
        <f>พนักงาน!S31</f>
        <v>0</v>
      </c>
      <c r="I54" s="169"/>
    </row>
    <row r="55" spans="1:9" ht="17.100000000000001" customHeight="1" x14ac:dyDescent="0.2">
      <c r="A55" s="149"/>
      <c r="B55" s="306" t="s">
        <v>5</v>
      </c>
      <c r="C55" s="306"/>
      <c r="D55" s="154">
        <f>พนักงาน!K31</f>
        <v>0</v>
      </c>
      <c r="E55" s="154"/>
      <c r="F55" s="155"/>
      <c r="G55" s="150" t="s">
        <v>56</v>
      </c>
      <c r="H55" s="156">
        <f>รายเดือน!T30</f>
        <v>0</v>
      </c>
      <c r="I55" s="169"/>
    </row>
    <row r="56" spans="1:9" ht="17.100000000000001" customHeight="1" x14ac:dyDescent="0.2">
      <c r="A56" s="149"/>
      <c r="B56" s="306" t="s">
        <v>6</v>
      </c>
      <c r="C56" s="306"/>
      <c r="D56" s="154">
        <v>0</v>
      </c>
      <c r="E56" s="154"/>
      <c r="F56" s="155"/>
      <c r="G56" s="150" t="s">
        <v>57</v>
      </c>
      <c r="H56" s="156">
        <f>รายเดือน!U30</f>
        <v>0</v>
      </c>
      <c r="I56" s="169"/>
    </row>
    <row r="57" spans="1:9" ht="17.100000000000001" customHeight="1" x14ac:dyDescent="0.2">
      <c r="A57" s="149"/>
      <c r="B57" s="306" t="s">
        <v>7</v>
      </c>
      <c r="C57" s="306"/>
      <c r="D57" s="154">
        <v>0</v>
      </c>
      <c r="E57" s="154"/>
      <c r="F57" s="155"/>
      <c r="G57" s="150"/>
      <c r="H57" s="154"/>
      <c r="I57" s="169"/>
    </row>
    <row r="58" spans="1:9" ht="17.100000000000001" customHeight="1" x14ac:dyDescent="0.2">
      <c r="A58" s="149"/>
      <c r="B58" s="307" t="s">
        <v>117</v>
      </c>
      <c r="C58" s="307"/>
      <c r="D58" s="157">
        <f>SUM(D49:D57)</f>
        <v>0</v>
      </c>
      <c r="E58" s="157"/>
      <c r="F58" s="157"/>
      <c r="G58" s="147" t="s">
        <v>118</v>
      </c>
      <c r="H58" s="157">
        <f>SUM(H49:H57)</f>
        <v>0</v>
      </c>
      <c r="I58" s="169"/>
    </row>
    <row r="59" spans="1:9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</row>
    <row r="60" spans="1:9" ht="17.100000000000001" customHeight="1" x14ac:dyDescent="0.2">
      <c r="A60" s="149"/>
      <c r="B60" s="150"/>
      <c r="C60" s="307" t="str">
        <f>"("&amp;BAHTTEXT(D59)&amp;")"</f>
        <v>(ศูนย์บาทถ้วน)</v>
      </c>
      <c r="D60" s="307"/>
      <c r="E60" s="307"/>
      <c r="F60" s="307"/>
      <c r="G60" s="307"/>
      <c r="H60" s="150"/>
      <c r="I60" s="152"/>
    </row>
    <row r="61" spans="1:9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</row>
    <row r="62" spans="1:9" ht="17.100000000000001" customHeight="1" x14ac:dyDescent="0.2">
      <c r="A62" s="149"/>
      <c r="B62" s="150"/>
      <c r="C62" s="147"/>
      <c r="D62" s="147"/>
      <c r="E62" s="147"/>
      <c r="F62" s="147"/>
      <c r="G62" s="147"/>
      <c r="H62" s="150"/>
      <c r="I62" s="152"/>
    </row>
    <row r="63" spans="1:9" ht="17.100000000000001" customHeight="1" x14ac:dyDescent="0.2">
      <c r="A63" s="149"/>
      <c r="B63" s="150"/>
      <c r="C63" s="147"/>
      <c r="D63" s="147"/>
      <c r="E63" s="147"/>
      <c r="F63" s="147"/>
      <c r="G63" s="147"/>
      <c r="H63" s="150"/>
      <c r="I63" s="152"/>
    </row>
    <row r="64" spans="1:9" ht="17.100000000000001" customHeight="1" x14ac:dyDescent="0.2">
      <c r="A64" s="149"/>
      <c r="B64" s="150"/>
      <c r="C64" s="150"/>
      <c r="D64" s="150"/>
      <c r="E64" s="150"/>
      <c r="F64" s="150"/>
      <c r="G64" s="150"/>
      <c r="H64" s="150"/>
      <c r="I64" s="152"/>
    </row>
    <row r="65" spans="1:9" ht="17.100000000000001" customHeight="1" x14ac:dyDescent="0.2">
      <c r="A65" s="308" t="s">
        <v>315</v>
      </c>
      <c r="B65" s="307"/>
      <c r="C65" s="307"/>
      <c r="D65" s="307"/>
      <c r="E65" s="307"/>
      <c r="F65" s="307"/>
      <c r="G65" s="307"/>
      <c r="H65" s="307"/>
      <c r="I65" s="309"/>
    </row>
    <row r="66" spans="1:9" ht="17.100000000000001" customHeight="1" x14ac:dyDescent="0.2">
      <c r="A66" s="310" t="s">
        <v>298</v>
      </c>
      <c r="B66" s="311"/>
      <c r="C66" s="311"/>
      <c r="D66" s="311"/>
      <c r="E66" s="311"/>
      <c r="F66" s="311"/>
      <c r="G66" s="311"/>
      <c r="H66" s="311"/>
      <c r="I66" s="312"/>
    </row>
    <row r="67" spans="1:9" ht="17.100000000000001" customHeight="1" x14ac:dyDescent="0.2">
      <c r="A67" s="313" t="str">
        <f>ขร1!A67:I67</f>
        <v>โรงพยาบาลสามโคก  ประจำเดือน  พฤศจิกายน  2568</v>
      </c>
      <c r="B67" s="314"/>
      <c r="C67" s="314"/>
      <c r="D67" s="314"/>
      <c r="E67" s="314"/>
      <c r="F67" s="314"/>
      <c r="G67" s="314"/>
      <c r="H67" s="314"/>
      <c r="I67" s="315"/>
    </row>
    <row r="68" spans="1:9" ht="17.100000000000001" customHeight="1" x14ac:dyDescent="0.2">
      <c r="A68" s="308" t="s">
        <v>594</v>
      </c>
      <c r="B68" s="307"/>
      <c r="C68" s="307"/>
      <c r="D68" s="307"/>
      <c r="E68" s="307"/>
      <c r="F68" s="307"/>
      <c r="G68" s="307"/>
      <c r="H68" s="307"/>
      <c r="I68" s="309"/>
    </row>
    <row r="69" spans="1:9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</row>
    <row r="70" spans="1:9" ht="17.100000000000001" customHeight="1" x14ac:dyDescent="0.2">
      <c r="A70" s="149"/>
      <c r="B70" s="307" t="s">
        <v>9</v>
      </c>
      <c r="C70" s="307"/>
      <c r="D70" s="307"/>
      <c r="E70" s="147"/>
      <c r="F70" s="147"/>
      <c r="G70" s="307" t="s">
        <v>10</v>
      </c>
      <c r="H70" s="307"/>
      <c r="I70" s="152"/>
    </row>
    <row r="71" spans="1:9" ht="17.100000000000001" customHeight="1" x14ac:dyDescent="0.2">
      <c r="A71" s="149"/>
      <c r="B71" s="306" t="s">
        <v>3</v>
      </c>
      <c r="C71" s="306"/>
      <c r="D71" s="154">
        <f>พนักงาน!E11</f>
        <v>0</v>
      </c>
      <c r="E71" s="154"/>
      <c r="F71" s="155"/>
      <c r="G71" s="150" t="s">
        <v>99</v>
      </c>
      <c r="H71" s="154">
        <f>ลจ.ประจำ!N106</f>
        <v>0</v>
      </c>
      <c r="I71" s="152"/>
    </row>
    <row r="72" spans="1:9" ht="17.100000000000001" customHeight="1" x14ac:dyDescent="0.2">
      <c r="A72" s="149"/>
      <c r="B72" s="306" t="s">
        <v>106</v>
      </c>
      <c r="C72" s="306"/>
      <c r="D72" s="154">
        <f>ลจ.ประจำ!F106</f>
        <v>0</v>
      </c>
      <c r="E72" s="154"/>
      <c r="F72" s="155"/>
      <c r="G72" s="150" t="s">
        <v>116</v>
      </c>
      <c r="H72" s="154">
        <f>พนักงาน!O11</f>
        <v>0</v>
      </c>
      <c r="I72" s="152"/>
    </row>
    <row r="73" spans="1:9" ht="17.100000000000001" customHeight="1" x14ac:dyDescent="0.2">
      <c r="A73" s="149"/>
      <c r="B73" s="306" t="s">
        <v>107</v>
      </c>
      <c r="C73" s="306"/>
      <c r="D73" s="154">
        <f>ลจ.ประจำ!G106</f>
        <v>0</v>
      </c>
      <c r="E73" s="154"/>
      <c r="F73" s="155"/>
      <c r="G73" s="150" t="s">
        <v>54</v>
      </c>
      <c r="H73" s="154">
        <f>พนักงาน!P74</f>
        <v>0</v>
      </c>
      <c r="I73" s="152"/>
    </row>
    <row r="74" spans="1:9" ht="17.100000000000001" customHeight="1" x14ac:dyDescent="0.2">
      <c r="A74" s="149"/>
      <c r="B74" s="306" t="s">
        <v>105</v>
      </c>
      <c r="C74" s="306"/>
      <c r="D74" s="154">
        <f>ลจ.ประจำ!H106</f>
        <v>0</v>
      </c>
      <c r="E74" s="154"/>
      <c r="F74" s="155"/>
      <c r="G74" s="150" t="s">
        <v>100</v>
      </c>
      <c r="H74" s="154">
        <f>พนักงาน!Q74</f>
        <v>0</v>
      </c>
      <c r="I74" s="152"/>
    </row>
    <row r="75" spans="1:9" ht="17.100000000000001" customHeight="1" x14ac:dyDescent="0.2">
      <c r="A75" s="149"/>
      <c r="B75" s="306" t="s">
        <v>661</v>
      </c>
      <c r="C75" s="306"/>
      <c r="D75" s="154">
        <f>พนักงาน!I11</f>
        <v>0</v>
      </c>
      <c r="E75" s="154"/>
      <c r="F75" s="155"/>
      <c r="G75" s="150" t="s">
        <v>55</v>
      </c>
      <c r="H75" s="156">
        <f>ลจ.ประจำ!R106</f>
        <v>0</v>
      </c>
      <c r="I75" s="152"/>
    </row>
    <row r="76" spans="1:9" ht="17.100000000000001" customHeight="1" x14ac:dyDescent="0.2">
      <c r="A76" s="149"/>
      <c r="B76" s="306" t="s">
        <v>120</v>
      </c>
      <c r="C76" s="306"/>
      <c r="D76" s="154">
        <f>พนักงาน!J11</f>
        <v>0</v>
      </c>
      <c r="E76" s="154"/>
      <c r="F76" s="155"/>
      <c r="G76" s="153" t="s">
        <v>137</v>
      </c>
      <c r="H76" s="156">
        <f>ข้าราชการ!AB151</f>
        <v>0</v>
      </c>
      <c r="I76" s="152"/>
    </row>
    <row r="77" spans="1:9" ht="17.100000000000001" customHeight="1" x14ac:dyDescent="0.2">
      <c r="A77" s="149"/>
      <c r="B77" s="306" t="s">
        <v>136</v>
      </c>
      <c r="C77" s="306"/>
      <c r="D77" s="154">
        <v>0</v>
      </c>
      <c r="E77" s="154"/>
      <c r="F77" s="155"/>
      <c r="G77" s="150" t="s">
        <v>56</v>
      </c>
      <c r="H77" s="156">
        <f>ลจ.ประจำ!T106</f>
        <v>0</v>
      </c>
      <c r="I77" s="152"/>
    </row>
    <row r="78" spans="1:9" ht="17.100000000000001" customHeight="1" x14ac:dyDescent="0.2">
      <c r="A78" s="149"/>
      <c r="B78" s="150" t="s">
        <v>6</v>
      </c>
      <c r="C78" s="150"/>
      <c r="D78" s="154">
        <f>ลจ.ประจำ!L106</f>
        <v>0</v>
      </c>
      <c r="E78" s="154"/>
      <c r="F78" s="155"/>
      <c r="G78" s="150" t="s">
        <v>57</v>
      </c>
      <c r="H78" s="156">
        <f>ลจ.ประจำ!U106</f>
        <v>0</v>
      </c>
      <c r="I78" s="152"/>
    </row>
    <row r="79" spans="1:9" ht="17.100000000000001" customHeight="1" x14ac:dyDescent="0.2">
      <c r="A79" s="149"/>
      <c r="B79" s="306" t="s">
        <v>7</v>
      </c>
      <c r="C79" s="306"/>
      <c r="D79" s="154">
        <f>ลจ.ประจำ!M106</f>
        <v>0</v>
      </c>
      <c r="E79" s="154"/>
      <c r="F79" s="155"/>
      <c r="G79" s="150"/>
      <c r="H79" s="154"/>
      <c r="I79" s="152"/>
    </row>
    <row r="80" spans="1:9" ht="17.100000000000001" customHeight="1" x14ac:dyDescent="0.2">
      <c r="A80" s="149"/>
      <c r="B80" s="307" t="s">
        <v>101</v>
      </c>
      <c r="C80" s="307"/>
      <c r="D80" s="157">
        <f>SUM(D71:D79)</f>
        <v>0</v>
      </c>
      <c r="E80" s="157"/>
      <c r="F80" s="157"/>
      <c r="G80" s="147" t="s">
        <v>102</v>
      </c>
      <c r="H80" s="157">
        <f>SUM(H71:H79)</f>
        <v>0</v>
      </c>
      <c r="I80" s="152"/>
    </row>
    <row r="81" spans="1:9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</row>
    <row r="82" spans="1:9" ht="17.100000000000001" customHeight="1" x14ac:dyDescent="0.2">
      <c r="A82" s="149"/>
      <c r="B82" s="150"/>
      <c r="C82" s="307" t="str">
        <f>"("&amp;BAHTTEXT(D81)&amp;")"</f>
        <v>(ศูนย์บาทถ้วน)</v>
      </c>
      <c r="D82" s="307"/>
      <c r="E82" s="307"/>
      <c r="F82" s="307"/>
      <c r="G82" s="307"/>
      <c r="H82" s="150"/>
      <c r="I82" s="152"/>
    </row>
    <row r="83" spans="1:9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</row>
    <row r="84" spans="1:9" ht="17.100000000000001" customHeight="1" x14ac:dyDescent="0.2">
      <c r="A84" s="149"/>
      <c r="B84" s="150"/>
      <c r="C84" s="147"/>
      <c r="D84" s="147"/>
      <c r="E84" s="147"/>
      <c r="F84" s="147"/>
      <c r="G84" s="147"/>
      <c r="H84" s="150"/>
      <c r="I84" s="152"/>
    </row>
    <row r="85" spans="1:9" ht="17.100000000000001" customHeight="1" x14ac:dyDescent="0.2">
      <c r="A85" s="149"/>
      <c r="B85" s="150"/>
      <c r="C85" s="150"/>
      <c r="D85" s="150"/>
      <c r="E85" s="150"/>
      <c r="F85" s="150"/>
      <c r="G85" s="150"/>
      <c r="H85" s="150"/>
      <c r="I85" s="152"/>
    </row>
    <row r="86" spans="1:9" ht="17.100000000000001" customHeight="1" x14ac:dyDescent="0.2">
      <c r="A86" s="149"/>
      <c r="I86" s="152"/>
    </row>
    <row r="87" spans="1:9" ht="17.100000000000001" customHeight="1" x14ac:dyDescent="0.2">
      <c r="A87" s="308" t="s">
        <v>315</v>
      </c>
      <c r="B87" s="307"/>
      <c r="C87" s="307"/>
      <c r="D87" s="307"/>
      <c r="E87" s="307"/>
      <c r="F87" s="307"/>
      <c r="G87" s="307"/>
      <c r="H87" s="307"/>
      <c r="I87" s="309"/>
    </row>
    <row r="88" spans="1:9" ht="17.100000000000001" customHeight="1" x14ac:dyDescent="0.2">
      <c r="A88" s="310" t="s">
        <v>298</v>
      </c>
      <c r="B88" s="311"/>
      <c r="C88" s="311"/>
      <c r="D88" s="311"/>
      <c r="E88" s="311"/>
      <c r="F88" s="311"/>
      <c r="G88" s="311"/>
      <c r="H88" s="311"/>
      <c r="I88" s="312"/>
    </row>
  </sheetData>
  <mergeCells count="66">
    <mergeCell ref="A65:I65"/>
    <mergeCell ref="A66:I66"/>
    <mergeCell ref="B55:C55"/>
    <mergeCell ref="B56:C56"/>
    <mergeCell ref="B57:C57"/>
    <mergeCell ref="B58:C58"/>
    <mergeCell ref="C60:G60"/>
    <mergeCell ref="B50:C50"/>
    <mergeCell ref="B51:C51"/>
    <mergeCell ref="B52:C52"/>
    <mergeCell ref="B53:C53"/>
    <mergeCell ref="B54:C54"/>
    <mergeCell ref="A45:I45"/>
    <mergeCell ref="A46:I46"/>
    <mergeCell ref="B48:D48"/>
    <mergeCell ref="G48:H48"/>
    <mergeCell ref="B49:C49"/>
    <mergeCell ref="A43:I43"/>
    <mergeCell ref="A44:I44"/>
    <mergeCell ref="B33:C33"/>
    <mergeCell ref="B34:C34"/>
    <mergeCell ref="B35:C35"/>
    <mergeCell ref="B36:C36"/>
    <mergeCell ref="C38:G38"/>
    <mergeCell ref="B28:C28"/>
    <mergeCell ref="B29:C29"/>
    <mergeCell ref="B30:C30"/>
    <mergeCell ref="B31:C31"/>
    <mergeCell ref="B32:C32"/>
    <mergeCell ref="A23:I23"/>
    <mergeCell ref="A24:I24"/>
    <mergeCell ref="B26:D26"/>
    <mergeCell ref="G26:H26"/>
    <mergeCell ref="B27:C27"/>
    <mergeCell ref="A1:I1"/>
    <mergeCell ref="A2:I2"/>
    <mergeCell ref="B4:D4"/>
    <mergeCell ref="G4:H4"/>
    <mergeCell ref="B9:C9"/>
    <mergeCell ref="B10:C10"/>
    <mergeCell ref="B8:C8"/>
    <mergeCell ref="B5:C5"/>
    <mergeCell ref="B6:C6"/>
    <mergeCell ref="B7:C7"/>
    <mergeCell ref="C16:G16"/>
    <mergeCell ref="A21:I21"/>
    <mergeCell ref="A22:I22"/>
    <mergeCell ref="B11:C11"/>
    <mergeCell ref="B13:C13"/>
    <mergeCell ref="B14:C14"/>
    <mergeCell ref="A67:I67"/>
    <mergeCell ref="A68:I68"/>
    <mergeCell ref="B70:D70"/>
    <mergeCell ref="G70:H70"/>
    <mergeCell ref="B71:C71"/>
    <mergeCell ref="B72:C72"/>
    <mergeCell ref="B73:C73"/>
    <mergeCell ref="B74:C74"/>
    <mergeCell ref="B75:C75"/>
    <mergeCell ref="B76:C76"/>
    <mergeCell ref="A88:I88"/>
    <mergeCell ref="B77:C77"/>
    <mergeCell ref="B79:C79"/>
    <mergeCell ref="B80:C80"/>
    <mergeCell ref="C82:G82"/>
    <mergeCell ref="A87:I87"/>
  </mergeCells>
  <pageMargins left="0.23622047244094491" right="0" top="0.31496062992125984" bottom="0" header="0" footer="0"/>
  <pageSetup paperSize="11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R308"/>
  <sheetViews>
    <sheetView topLeftCell="A307" zoomScale="80" zoomScaleNormal="80" workbookViewId="0">
      <selection activeCell="G321" sqref="G321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10" width="5.625" style="145" customWidth="1"/>
    <col min="11" max="11" width="3.75" style="145" customWidth="1"/>
    <col min="12" max="12" width="21.625" style="145" customWidth="1"/>
    <col min="13" max="13" width="12.625" style="145" customWidth="1"/>
    <col min="14" max="15" width="3.625" style="145" customWidth="1"/>
    <col min="16" max="16" width="24.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313" t="str">
        <f>ขร1!A1</f>
        <v>โรงพยาบาลสามโคก  ประจำเดือน  พฤศจิกายน  2568</v>
      </c>
      <c r="B1" s="314"/>
      <c r="C1" s="314"/>
      <c r="D1" s="314"/>
      <c r="E1" s="314"/>
      <c r="F1" s="314"/>
      <c r="G1" s="314"/>
      <c r="H1" s="314"/>
      <c r="I1" s="315"/>
      <c r="J1" s="313" t="str">
        <f>รว!A1</f>
        <v>โรงพยาบาลสามโคก  ประจำเดือน  พฤศจิกายน  2568</v>
      </c>
      <c r="K1" s="314"/>
      <c r="L1" s="314"/>
      <c r="M1" s="314"/>
      <c r="N1" s="314"/>
      <c r="O1" s="314"/>
      <c r="P1" s="314"/>
      <c r="Q1" s="314"/>
      <c r="R1" s="315"/>
    </row>
    <row r="2" spans="1:18" ht="17.100000000000001" customHeight="1" x14ac:dyDescent="0.2">
      <c r="A2" s="308" t="s">
        <v>127</v>
      </c>
      <c r="B2" s="307"/>
      <c r="C2" s="307"/>
      <c r="D2" s="307"/>
      <c r="E2" s="307"/>
      <c r="F2" s="307"/>
      <c r="G2" s="307"/>
      <c r="H2" s="307"/>
      <c r="I2" s="309"/>
      <c r="J2" s="308" t="s">
        <v>128</v>
      </c>
      <c r="K2" s="307"/>
      <c r="L2" s="307"/>
      <c r="M2" s="307"/>
      <c r="N2" s="307"/>
      <c r="O2" s="307"/>
      <c r="P2" s="307"/>
      <c r="Q2" s="307"/>
      <c r="R2" s="309"/>
    </row>
    <row r="3" spans="1:18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  <c r="J3" s="149"/>
      <c r="K3" s="153"/>
      <c r="L3" s="150"/>
      <c r="M3" s="147"/>
      <c r="N3" s="147"/>
      <c r="O3" s="147"/>
      <c r="P3" s="150"/>
      <c r="Q3" s="150"/>
      <c r="R3" s="152"/>
    </row>
    <row r="4" spans="1:18" ht="17.100000000000001" customHeight="1" x14ac:dyDescent="0.2">
      <c r="A4" s="149"/>
      <c r="B4" s="307" t="s">
        <v>9</v>
      </c>
      <c r="C4" s="307"/>
      <c r="D4" s="307"/>
      <c r="E4" s="147"/>
      <c r="F4" s="147"/>
      <c r="G4" s="307" t="s">
        <v>10</v>
      </c>
      <c r="H4" s="307"/>
      <c r="I4" s="152"/>
      <c r="J4" s="149"/>
      <c r="K4" s="307" t="s">
        <v>9</v>
      </c>
      <c r="L4" s="307"/>
      <c r="M4" s="307"/>
      <c r="N4" s="147"/>
      <c r="O4" s="147"/>
      <c r="P4" s="147" t="s">
        <v>10</v>
      </c>
      <c r="Q4" s="147"/>
      <c r="R4" s="152"/>
    </row>
    <row r="5" spans="1:18" ht="17.100000000000001" customHeight="1" x14ac:dyDescent="0.2">
      <c r="A5" s="170"/>
      <c r="B5" s="306" t="s">
        <v>3</v>
      </c>
      <c r="C5" s="306"/>
      <c r="D5" s="154">
        <f>พกส.!E8</f>
        <v>10</v>
      </c>
      <c r="E5" s="154"/>
      <c r="F5" s="155"/>
      <c r="G5" s="150" t="s">
        <v>116</v>
      </c>
      <c r="H5" s="154">
        <f>พกส.!N8</f>
        <v>1</v>
      </c>
      <c r="I5" s="169"/>
      <c r="J5" s="149"/>
      <c r="K5" s="150" t="s">
        <v>3</v>
      </c>
      <c r="L5" s="150"/>
      <c r="M5" s="154">
        <f>พกส.!E22</f>
        <v>0</v>
      </c>
      <c r="N5" s="154"/>
      <c r="O5" s="155"/>
      <c r="P5" s="189" t="s">
        <v>116</v>
      </c>
      <c r="Q5" s="154">
        <f>พกส.!N22</f>
        <v>0</v>
      </c>
      <c r="R5" s="152"/>
    </row>
    <row r="6" spans="1:18" ht="17.100000000000001" customHeight="1" x14ac:dyDescent="0.2">
      <c r="A6" s="170"/>
      <c r="B6" s="306" t="s">
        <v>106</v>
      </c>
      <c r="C6" s="306"/>
      <c r="D6" s="154">
        <v>0</v>
      </c>
      <c r="E6" s="154"/>
      <c r="F6" s="155"/>
      <c r="G6" s="150" t="s">
        <v>54</v>
      </c>
      <c r="H6" s="154">
        <f>พกส.!O8</f>
        <v>1</v>
      </c>
      <c r="I6" s="169"/>
      <c r="J6" s="149"/>
      <c r="K6" s="150" t="s">
        <v>106</v>
      </c>
      <c r="L6" s="150"/>
      <c r="M6" s="154">
        <v>0</v>
      </c>
      <c r="N6" s="154"/>
      <c r="O6" s="155"/>
      <c r="P6" s="189" t="s">
        <v>54</v>
      </c>
      <c r="Q6" s="154">
        <v>1500</v>
      </c>
      <c r="R6" s="152"/>
    </row>
    <row r="7" spans="1:18" ht="17.100000000000001" customHeight="1" x14ac:dyDescent="0.2">
      <c r="A7" s="170"/>
      <c r="B7" s="306" t="s">
        <v>107</v>
      </c>
      <c r="C7" s="306"/>
      <c r="D7" s="154">
        <v>0</v>
      </c>
      <c r="E7" s="154"/>
      <c r="F7" s="155"/>
      <c r="G7" s="150" t="s">
        <v>100</v>
      </c>
      <c r="H7" s="154">
        <f>พกส.!P8</f>
        <v>0</v>
      </c>
      <c r="I7" s="169"/>
      <c r="J7" s="149"/>
      <c r="K7" s="306" t="s">
        <v>140</v>
      </c>
      <c r="L7" s="306"/>
      <c r="M7" s="154">
        <v>0</v>
      </c>
      <c r="N7" s="154"/>
      <c r="O7" s="155"/>
      <c r="P7" s="189" t="s">
        <v>100</v>
      </c>
      <c r="Q7" s="154">
        <v>0</v>
      </c>
      <c r="R7" s="152"/>
    </row>
    <row r="8" spans="1:18" ht="17.100000000000001" customHeight="1" x14ac:dyDescent="0.2">
      <c r="A8" s="170"/>
      <c r="B8" s="306" t="s">
        <v>105</v>
      </c>
      <c r="C8" s="306"/>
      <c r="D8" s="154">
        <v>0</v>
      </c>
      <c r="E8" s="154"/>
      <c r="F8" s="155"/>
      <c r="G8" s="150" t="s">
        <v>55</v>
      </c>
      <c r="H8" s="156">
        <f>พกส.!Q8</f>
        <v>0</v>
      </c>
      <c r="I8" s="169"/>
      <c r="J8" s="149"/>
      <c r="K8" s="306" t="s">
        <v>130</v>
      </c>
      <c r="L8" s="306"/>
      <c r="M8" s="154">
        <v>0</v>
      </c>
      <c r="N8" s="154"/>
      <c r="O8" s="155"/>
      <c r="P8" s="189" t="s">
        <v>55</v>
      </c>
      <c r="Q8" s="154">
        <v>0</v>
      </c>
      <c r="R8" s="152"/>
    </row>
    <row r="9" spans="1:18" ht="17.100000000000001" customHeight="1" x14ac:dyDescent="0.2">
      <c r="A9" s="170"/>
      <c r="B9" s="306" t="s">
        <v>661</v>
      </c>
      <c r="C9" s="306"/>
      <c r="D9" s="154">
        <f>พกส.!I8</f>
        <v>0</v>
      </c>
      <c r="E9" s="154"/>
      <c r="F9" s="155"/>
      <c r="G9" s="153" t="s">
        <v>209</v>
      </c>
      <c r="H9" s="171">
        <f>พกส.!R8</f>
        <v>1</v>
      </c>
      <c r="I9" s="169"/>
      <c r="J9" s="149"/>
      <c r="K9" s="306" t="s">
        <v>661</v>
      </c>
      <c r="L9" s="306"/>
      <c r="M9" s="154">
        <f>พกส.!I22</f>
        <v>0</v>
      </c>
      <c r="N9" s="154"/>
      <c r="O9" s="155"/>
      <c r="P9" s="153" t="s">
        <v>209</v>
      </c>
      <c r="Q9" s="156">
        <f>พกส.!R22</f>
        <v>0</v>
      </c>
      <c r="R9" s="152"/>
    </row>
    <row r="10" spans="1:18" ht="17.100000000000001" customHeight="1" x14ac:dyDescent="0.2">
      <c r="A10" s="170"/>
      <c r="B10" s="306" t="s">
        <v>662</v>
      </c>
      <c r="C10" s="306"/>
      <c r="D10" s="154">
        <f>พกส.!J8</f>
        <v>0</v>
      </c>
      <c r="E10" s="154"/>
      <c r="F10" s="155"/>
      <c r="G10" s="153" t="s">
        <v>137</v>
      </c>
      <c r="H10" s="156">
        <f>ข้าราชการ!S117</f>
        <v>0</v>
      </c>
      <c r="I10" s="169"/>
      <c r="J10" s="149"/>
      <c r="K10" s="306" t="s">
        <v>119</v>
      </c>
      <c r="L10" s="306"/>
      <c r="M10" s="154">
        <f>พกส.!J22</f>
        <v>0</v>
      </c>
      <c r="N10" s="154"/>
      <c r="O10" s="155"/>
      <c r="P10" s="153" t="s">
        <v>137</v>
      </c>
      <c r="Q10" s="156">
        <f>ข้าราชการ!AB117</f>
        <v>0</v>
      </c>
      <c r="R10" s="152"/>
    </row>
    <row r="11" spans="1:18" ht="17.100000000000001" customHeight="1" x14ac:dyDescent="0.2">
      <c r="A11" s="170"/>
      <c r="B11" s="306" t="s">
        <v>663</v>
      </c>
      <c r="C11" s="306"/>
      <c r="D11" s="154">
        <f>พกส.!L8</f>
        <v>3</v>
      </c>
      <c r="E11" s="154"/>
      <c r="F11" s="155"/>
      <c r="G11" s="153" t="s">
        <v>377</v>
      </c>
      <c r="H11" s="156">
        <f>ข้าราชการ!S118</f>
        <v>0</v>
      </c>
      <c r="I11" s="169"/>
      <c r="J11" s="149"/>
      <c r="K11" s="306" t="s">
        <v>663</v>
      </c>
      <c r="L11" s="306"/>
      <c r="M11" s="154">
        <f>พกส.!L22</f>
        <v>0</v>
      </c>
      <c r="N11" s="154"/>
      <c r="O11" s="155"/>
      <c r="P11" s="153" t="s">
        <v>377</v>
      </c>
      <c r="Q11" s="156">
        <f>ข้าราชการ!AC117</f>
        <v>0</v>
      </c>
      <c r="R11" s="152"/>
    </row>
    <row r="12" spans="1:18" ht="17.100000000000001" customHeight="1" x14ac:dyDescent="0.2">
      <c r="A12" s="170"/>
      <c r="B12" s="150" t="s">
        <v>6</v>
      </c>
      <c r="C12" s="150"/>
      <c r="D12" s="154">
        <v>0</v>
      </c>
      <c r="E12" s="154"/>
      <c r="F12" s="155"/>
      <c r="G12" s="150" t="s">
        <v>56</v>
      </c>
      <c r="H12" s="171">
        <f>พกส.!U8</f>
        <v>0</v>
      </c>
      <c r="I12" s="169"/>
      <c r="J12" s="149"/>
      <c r="K12" s="150" t="s">
        <v>302</v>
      </c>
      <c r="L12" s="150"/>
      <c r="M12" s="154">
        <v>0</v>
      </c>
      <c r="N12" s="154"/>
      <c r="O12" s="155"/>
      <c r="P12" s="189" t="s">
        <v>56</v>
      </c>
      <c r="Q12" s="156">
        <f>ข้าราชการ!AC118</f>
        <v>0</v>
      </c>
      <c r="R12" s="152"/>
    </row>
    <row r="13" spans="1:18" ht="17.100000000000001" customHeight="1" x14ac:dyDescent="0.2">
      <c r="A13" s="170"/>
      <c r="B13" s="306" t="s">
        <v>7</v>
      </c>
      <c r="C13" s="306"/>
      <c r="D13" s="154">
        <v>0</v>
      </c>
      <c r="E13" s="154"/>
      <c r="F13" s="155"/>
      <c r="G13" s="150" t="s">
        <v>57</v>
      </c>
      <c r="H13" s="171">
        <f>พกส.!V8</f>
        <v>0</v>
      </c>
      <c r="I13" s="169"/>
      <c r="J13" s="149"/>
      <c r="K13" s="150" t="s">
        <v>7</v>
      </c>
      <c r="L13" s="150"/>
      <c r="M13" s="154">
        <v>0</v>
      </c>
      <c r="N13" s="154"/>
      <c r="O13" s="155"/>
      <c r="P13" s="189" t="s">
        <v>57</v>
      </c>
      <c r="Q13" s="154"/>
      <c r="R13" s="152"/>
    </row>
    <row r="14" spans="1:18" ht="17.100000000000001" customHeight="1" x14ac:dyDescent="0.2">
      <c r="A14" s="170"/>
      <c r="B14" s="307" t="s">
        <v>117</v>
      </c>
      <c r="C14" s="307"/>
      <c r="D14" s="157">
        <f>SUM(D5:D13)</f>
        <v>13</v>
      </c>
      <c r="E14" s="157"/>
      <c r="F14" s="157"/>
      <c r="G14" s="147" t="s">
        <v>118</v>
      </c>
      <c r="H14" s="157">
        <f>SUM(H5:H13)</f>
        <v>3</v>
      </c>
      <c r="I14" s="169"/>
      <c r="J14" s="149"/>
      <c r="K14" s="307" t="s">
        <v>101</v>
      </c>
      <c r="L14" s="307"/>
      <c r="M14" s="154">
        <f>SUM(M5:M13)</f>
        <v>0</v>
      </c>
      <c r="N14" s="154"/>
      <c r="O14" s="157"/>
      <c r="P14" s="147" t="s">
        <v>102</v>
      </c>
      <c r="Q14" s="157">
        <f>SUM(Q5:Q13)</f>
        <v>1500</v>
      </c>
      <c r="R14" s="152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10</v>
      </c>
      <c r="E15" s="157"/>
      <c r="F15" s="158" t="s">
        <v>104</v>
      </c>
      <c r="H15" s="150"/>
      <c r="I15" s="152"/>
      <c r="J15" s="149"/>
      <c r="K15" s="150"/>
      <c r="L15" s="147" t="s">
        <v>103</v>
      </c>
      <c r="M15" s="157">
        <f>M14-Q14</f>
        <v>-1500</v>
      </c>
      <c r="N15" s="157"/>
      <c r="O15" s="158" t="s">
        <v>104</v>
      </c>
      <c r="Q15" s="150"/>
      <c r="R15" s="152"/>
    </row>
    <row r="16" spans="1:18" ht="17.100000000000001" customHeight="1" x14ac:dyDescent="0.2">
      <c r="A16" s="149"/>
      <c r="B16" s="150"/>
      <c r="C16" s="307" t="str">
        <f>"("&amp;BAHTTEXT(D15)&amp;")"</f>
        <v>(สิบบาทถ้วน)</v>
      </c>
      <c r="D16" s="307"/>
      <c r="E16" s="307"/>
      <c r="F16" s="307"/>
      <c r="G16" s="307"/>
      <c r="H16" s="150"/>
      <c r="I16" s="152"/>
      <c r="J16" s="149"/>
      <c r="L16" s="307" t="str">
        <f>"("&amp;BAHTTEXT(M15)&amp;")"</f>
        <v>(ลบหนึ่งพันห้าร้อยบาทถ้วน)</v>
      </c>
      <c r="M16" s="307"/>
      <c r="N16" s="307"/>
      <c r="O16" s="307"/>
      <c r="P16" s="307"/>
      <c r="R16" s="152"/>
    </row>
    <row r="17" spans="1:18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  <c r="J17" s="149"/>
      <c r="L17" s="147"/>
      <c r="M17" s="147"/>
      <c r="N17" s="147"/>
      <c r="O17" s="147"/>
      <c r="P17" s="147"/>
      <c r="R17" s="152"/>
    </row>
    <row r="18" spans="1:18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  <c r="J18" s="149"/>
      <c r="L18" s="147"/>
      <c r="M18" s="147"/>
      <c r="N18" s="147"/>
      <c r="O18" s="147"/>
      <c r="P18" s="147"/>
      <c r="R18" s="152"/>
    </row>
    <row r="19" spans="1:18" ht="17.100000000000001" customHeight="1" x14ac:dyDescent="0.2">
      <c r="A19" s="149"/>
      <c r="B19" s="150"/>
      <c r="C19" s="147"/>
      <c r="D19" s="147"/>
      <c r="E19" s="147"/>
      <c r="F19" s="147"/>
      <c r="G19" s="147"/>
      <c r="H19" s="150"/>
      <c r="I19" s="152"/>
      <c r="J19" s="149"/>
      <c r="R19" s="152"/>
    </row>
    <row r="20" spans="1:18" ht="17.100000000000001" customHeight="1" x14ac:dyDescent="0.2">
      <c r="A20" s="149"/>
      <c r="B20" s="150"/>
      <c r="C20" s="150"/>
      <c r="D20" s="150"/>
      <c r="E20" s="150"/>
      <c r="F20" s="150"/>
      <c r="G20" s="150"/>
      <c r="H20" s="150"/>
      <c r="I20" s="152"/>
      <c r="J20" s="149"/>
      <c r="R20" s="152"/>
    </row>
    <row r="21" spans="1:18" ht="17.100000000000001" customHeight="1" x14ac:dyDescent="0.2">
      <c r="A21" s="308" t="s">
        <v>315</v>
      </c>
      <c r="B21" s="307"/>
      <c r="C21" s="307"/>
      <c r="D21" s="307"/>
      <c r="E21" s="307"/>
      <c r="F21" s="307"/>
      <c r="G21" s="307"/>
      <c r="H21" s="307"/>
      <c r="I21" s="309"/>
      <c r="J21" s="308" t="s">
        <v>315</v>
      </c>
      <c r="K21" s="307"/>
      <c r="L21" s="307"/>
      <c r="M21" s="307"/>
      <c r="N21" s="307"/>
      <c r="O21" s="307"/>
      <c r="P21" s="307"/>
      <c r="Q21" s="307"/>
      <c r="R21" s="309"/>
    </row>
    <row r="22" spans="1:18" ht="17.100000000000001" customHeight="1" x14ac:dyDescent="0.2">
      <c r="A22" s="310" t="s">
        <v>298</v>
      </c>
      <c r="B22" s="311"/>
      <c r="C22" s="311"/>
      <c r="D22" s="311"/>
      <c r="E22" s="311"/>
      <c r="F22" s="311"/>
      <c r="G22" s="311"/>
      <c r="H22" s="311"/>
      <c r="I22" s="312"/>
      <c r="J22" s="310" t="s">
        <v>298</v>
      </c>
      <c r="K22" s="311"/>
      <c r="L22" s="311"/>
      <c r="M22" s="311"/>
      <c r="N22" s="311"/>
      <c r="O22" s="311"/>
      <c r="P22" s="311"/>
      <c r="Q22" s="311"/>
      <c r="R22" s="312"/>
    </row>
    <row r="23" spans="1:18" ht="17.100000000000001" customHeight="1" x14ac:dyDescent="0.2">
      <c r="A23" s="313" t="str">
        <f>พกส.1!A1</f>
        <v>โรงพยาบาลสามโคก  ประจำเดือน  พฤศจิกายน  2568</v>
      </c>
      <c r="B23" s="314"/>
      <c r="C23" s="314"/>
      <c r="D23" s="314"/>
      <c r="E23" s="314"/>
      <c r="F23" s="314"/>
      <c r="G23" s="314"/>
      <c r="H23" s="314"/>
      <c r="I23" s="315"/>
      <c r="J23" s="313" t="str">
        <f>A1</f>
        <v>โรงพยาบาลสามโคก  ประจำเดือน  พฤศจิกายน  2568</v>
      </c>
      <c r="K23" s="314"/>
      <c r="L23" s="314"/>
      <c r="M23" s="314"/>
      <c r="N23" s="314"/>
      <c r="O23" s="314"/>
      <c r="P23" s="314"/>
      <c r="Q23" s="314"/>
      <c r="R23" s="315"/>
    </row>
    <row r="24" spans="1:18" ht="17.100000000000001" customHeight="1" x14ac:dyDescent="0.2">
      <c r="A24" s="308" t="s">
        <v>122</v>
      </c>
      <c r="B24" s="307"/>
      <c r="C24" s="307"/>
      <c r="D24" s="307"/>
      <c r="E24" s="307"/>
      <c r="F24" s="307"/>
      <c r="G24" s="307"/>
      <c r="H24" s="307"/>
      <c r="I24" s="309"/>
      <c r="J24" s="308" t="s">
        <v>129</v>
      </c>
      <c r="K24" s="307"/>
      <c r="L24" s="307"/>
      <c r="M24" s="307"/>
      <c r="N24" s="307"/>
      <c r="O24" s="307"/>
      <c r="P24" s="307"/>
      <c r="Q24" s="307"/>
      <c r="R24" s="309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307" t="s">
        <v>9</v>
      </c>
      <c r="C26" s="307"/>
      <c r="D26" s="307"/>
      <c r="E26" s="147"/>
      <c r="F26" s="147"/>
      <c r="G26" s="307" t="s">
        <v>10</v>
      </c>
      <c r="H26" s="307"/>
      <c r="I26" s="152"/>
      <c r="J26" s="149"/>
      <c r="K26" s="307" t="s">
        <v>9</v>
      </c>
      <c r="L26" s="307"/>
      <c r="M26" s="307"/>
      <c r="N26" s="147"/>
      <c r="O26" s="147"/>
      <c r="P26" s="147" t="s">
        <v>10</v>
      </c>
      <c r="Q26" s="147"/>
      <c r="R26" s="152"/>
    </row>
    <row r="27" spans="1:18" ht="17.100000000000001" customHeight="1" x14ac:dyDescent="0.2">
      <c r="A27" s="170"/>
      <c r="B27" s="306" t="s">
        <v>3</v>
      </c>
      <c r="C27" s="306"/>
      <c r="D27" s="154">
        <f>พกส.!E9</f>
        <v>10</v>
      </c>
      <c r="E27" s="154"/>
      <c r="F27" s="155"/>
      <c r="G27" s="189" t="s">
        <v>116</v>
      </c>
      <c r="H27" s="154">
        <f>พกส.!N9</f>
        <v>0</v>
      </c>
      <c r="I27" s="169"/>
      <c r="J27" s="149"/>
      <c r="K27" s="150" t="s">
        <v>3</v>
      </c>
      <c r="L27" s="150"/>
      <c r="M27" s="154">
        <f>พกส.!E23</f>
        <v>0</v>
      </c>
      <c r="N27" s="154"/>
      <c r="O27" s="155"/>
      <c r="P27" s="189" t="s">
        <v>116</v>
      </c>
      <c r="Q27" s="154">
        <f>พกส.!N23</f>
        <v>0</v>
      </c>
      <c r="R27" s="152"/>
    </row>
    <row r="28" spans="1:18" ht="17.100000000000001" customHeight="1" x14ac:dyDescent="0.2">
      <c r="A28" s="170"/>
      <c r="B28" s="306" t="s">
        <v>106</v>
      </c>
      <c r="C28" s="306"/>
      <c r="D28" s="154">
        <v>0</v>
      </c>
      <c r="E28" s="154"/>
      <c r="F28" s="155"/>
      <c r="G28" s="189" t="s">
        <v>54</v>
      </c>
      <c r="H28" s="154">
        <v>0</v>
      </c>
      <c r="I28" s="169"/>
      <c r="J28" s="149"/>
      <c r="K28" s="150" t="s">
        <v>106</v>
      </c>
      <c r="L28" s="150"/>
      <c r="M28" s="154">
        <v>0</v>
      </c>
      <c r="N28" s="154"/>
      <c r="O28" s="155"/>
      <c r="P28" s="189" t="s">
        <v>54</v>
      </c>
      <c r="Q28" s="154">
        <f>พกส.!O23</f>
        <v>0</v>
      </c>
      <c r="R28" s="152"/>
    </row>
    <row r="29" spans="1:18" ht="17.100000000000001" customHeight="1" x14ac:dyDescent="0.2">
      <c r="A29" s="170"/>
      <c r="B29" s="306" t="s">
        <v>107</v>
      </c>
      <c r="C29" s="306"/>
      <c r="D29" s="154">
        <v>0</v>
      </c>
      <c r="E29" s="154"/>
      <c r="F29" s="155"/>
      <c r="G29" s="189" t="s">
        <v>100</v>
      </c>
      <c r="H29" s="154">
        <f>พกส.!P9</f>
        <v>1</v>
      </c>
      <c r="I29" s="169"/>
      <c r="J29" s="149"/>
      <c r="K29" s="306" t="s">
        <v>140</v>
      </c>
      <c r="L29" s="306"/>
      <c r="M29" s="154">
        <v>0</v>
      </c>
      <c r="N29" s="154"/>
      <c r="O29" s="155"/>
      <c r="P29" s="189" t="s">
        <v>100</v>
      </c>
      <c r="Q29" s="154">
        <f>พกส.!P23</f>
        <v>0</v>
      </c>
      <c r="R29" s="152"/>
    </row>
    <row r="30" spans="1:18" ht="17.100000000000001" customHeight="1" x14ac:dyDescent="0.2">
      <c r="A30" s="170"/>
      <c r="B30" s="306" t="s">
        <v>105</v>
      </c>
      <c r="C30" s="306"/>
      <c r="D30" s="154">
        <v>0</v>
      </c>
      <c r="E30" s="154"/>
      <c r="F30" s="155"/>
      <c r="G30" s="189" t="s">
        <v>55</v>
      </c>
      <c r="H30" s="156">
        <v>0</v>
      </c>
      <c r="I30" s="169"/>
      <c r="J30" s="149"/>
      <c r="K30" s="306" t="s">
        <v>130</v>
      </c>
      <c r="L30" s="306"/>
      <c r="M30" s="154">
        <v>0</v>
      </c>
      <c r="N30" s="154"/>
      <c r="O30" s="155"/>
      <c r="P30" s="189" t="s">
        <v>55</v>
      </c>
      <c r="Q30" s="154">
        <v>0</v>
      </c>
      <c r="R30" s="152"/>
    </row>
    <row r="31" spans="1:18" ht="17.100000000000001" customHeight="1" x14ac:dyDescent="0.2">
      <c r="A31" s="170"/>
      <c r="B31" s="306" t="s">
        <v>661</v>
      </c>
      <c r="C31" s="306"/>
      <c r="D31" s="154">
        <f>พกส.!I9</f>
        <v>0</v>
      </c>
      <c r="E31" s="154"/>
      <c r="F31" s="155"/>
      <c r="G31" s="153" t="s">
        <v>209</v>
      </c>
      <c r="H31" s="171">
        <f>พกส.!R9</f>
        <v>0</v>
      </c>
      <c r="I31" s="169"/>
      <c r="J31" s="149"/>
      <c r="K31" s="306" t="s">
        <v>661</v>
      </c>
      <c r="L31" s="306"/>
      <c r="M31" s="154">
        <f>พกส.!I23</f>
        <v>0</v>
      </c>
      <c r="N31" s="154"/>
      <c r="O31" s="155"/>
      <c r="P31" s="153" t="s">
        <v>209</v>
      </c>
      <c r="Q31" s="156">
        <f>พกส.!R23</f>
        <v>0</v>
      </c>
      <c r="R31" s="152"/>
    </row>
    <row r="32" spans="1:18" ht="17.100000000000001" customHeight="1" x14ac:dyDescent="0.2">
      <c r="A32" s="170"/>
      <c r="B32" s="306" t="s">
        <v>662</v>
      </c>
      <c r="C32" s="306"/>
      <c r="D32" s="154">
        <f>พกส.!J9</f>
        <v>0</v>
      </c>
      <c r="E32" s="154"/>
      <c r="F32" s="155"/>
      <c r="G32" s="153" t="s">
        <v>137</v>
      </c>
      <c r="H32" s="156">
        <v>0</v>
      </c>
      <c r="I32" s="169"/>
      <c r="J32" s="149"/>
      <c r="K32" s="306" t="s">
        <v>662</v>
      </c>
      <c r="L32" s="306"/>
      <c r="M32" s="154">
        <f>พกส.!J23</f>
        <v>0</v>
      </c>
      <c r="N32" s="154"/>
      <c r="O32" s="155"/>
      <c r="P32" s="153" t="s">
        <v>137</v>
      </c>
      <c r="Q32" s="156">
        <v>0</v>
      </c>
      <c r="R32" s="152"/>
    </row>
    <row r="33" spans="1:18" ht="17.100000000000001" customHeight="1" x14ac:dyDescent="0.2">
      <c r="A33" s="170"/>
      <c r="B33" s="306" t="s">
        <v>667</v>
      </c>
      <c r="C33" s="306"/>
      <c r="D33" s="154">
        <f>พกส.!K9</f>
        <v>500</v>
      </c>
      <c r="E33" s="154"/>
      <c r="F33" s="155"/>
      <c r="G33" s="153" t="s">
        <v>377</v>
      </c>
      <c r="H33" s="156">
        <v>0</v>
      </c>
      <c r="I33" s="169"/>
      <c r="J33" s="149"/>
      <c r="K33" s="306" t="s">
        <v>663</v>
      </c>
      <c r="L33" s="306"/>
      <c r="M33" s="154">
        <f>พกส.!L23</f>
        <v>0</v>
      </c>
      <c r="N33" s="154"/>
      <c r="O33" s="155"/>
      <c r="P33" s="153" t="s">
        <v>377</v>
      </c>
      <c r="Q33" s="156">
        <v>0</v>
      </c>
      <c r="R33" s="152"/>
    </row>
    <row r="34" spans="1:18" ht="17.100000000000001" customHeight="1" x14ac:dyDescent="0.2">
      <c r="A34" s="170"/>
      <c r="B34" s="306" t="s">
        <v>136</v>
      </c>
      <c r="C34" s="306"/>
      <c r="D34" s="154">
        <f>พกส.!L9</f>
        <v>0</v>
      </c>
      <c r="E34" s="154"/>
      <c r="F34" s="155"/>
      <c r="G34" s="189" t="s">
        <v>56</v>
      </c>
      <c r="H34" s="156">
        <v>0</v>
      </c>
      <c r="I34" s="169"/>
      <c r="J34" s="149"/>
      <c r="K34" s="150" t="s">
        <v>302</v>
      </c>
      <c r="L34" s="150"/>
      <c r="M34" s="154">
        <v>0</v>
      </c>
      <c r="N34" s="154"/>
      <c r="O34" s="155"/>
      <c r="P34" s="189" t="s">
        <v>56</v>
      </c>
      <c r="Q34" s="156">
        <f>พกส.!U23</f>
        <v>0</v>
      </c>
      <c r="R34" s="152"/>
    </row>
    <row r="35" spans="1:18" ht="17.100000000000001" customHeight="1" x14ac:dyDescent="0.2">
      <c r="A35" s="170"/>
      <c r="B35" s="306" t="s">
        <v>7</v>
      </c>
      <c r="C35" s="306"/>
      <c r="D35" s="154">
        <f>พกส.!M9</f>
        <v>0</v>
      </c>
      <c r="E35" s="154"/>
      <c r="F35" s="155"/>
      <c r="G35" s="189" t="s">
        <v>57</v>
      </c>
      <c r="H35" s="154">
        <v>0</v>
      </c>
      <c r="I35" s="169"/>
      <c r="J35" s="149"/>
      <c r="K35" s="150" t="s">
        <v>7</v>
      </c>
      <c r="L35" s="150"/>
      <c r="M35" s="154">
        <v>0</v>
      </c>
      <c r="N35" s="154"/>
      <c r="O35" s="155"/>
      <c r="P35" s="189" t="s">
        <v>57</v>
      </c>
      <c r="Q35" s="154">
        <f>พกส.!V23</f>
        <v>0</v>
      </c>
      <c r="R35" s="152"/>
    </row>
    <row r="36" spans="1:18" ht="17.100000000000001" customHeight="1" x14ac:dyDescent="0.2">
      <c r="A36" s="170"/>
      <c r="B36" s="307" t="s">
        <v>117</v>
      </c>
      <c r="C36" s="307"/>
      <c r="D36" s="157">
        <f>SUM(D27:D35)</f>
        <v>510</v>
      </c>
      <c r="E36" s="157"/>
      <c r="F36" s="157"/>
      <c r="G36" s="147" t="s">
        <v>118</v>
      </c>
      <c r="H36" s="157">
        <f>SUM(H27:H35)</f>
        <v>1</v>
      </c>
      <c r="I36" s="169"/>
      <c r="J36" s="149"/>
      <c r="K36" s="307" t="s">
        <v>101</v>
      </c>
      <c r="L36" s="307"/>
      <c r="M36" s="154">
        <f>SUM(M27:M35)</f>
        <v>0</v>
      </c>
      <c r="N36" s="154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509</v>
      </c>
      <c r="E37" s="157"/>
      <c r="F37" s="158" t="s">
        <v>104</v>
      </c>
      <c r="H37" s="150"/>
      <c r="I37" s="152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B38" s="150"/>
      <c r="C38" s="307" t="str">
        <f>"("&amp;BAHTTEXT(D37)&amp;")"</f>
        <v>(ห้าร้อยเก้าบาทถ้วน)</v>
      </c>
      <c r="D38" s="307"/>
      <c r="E38" s="307"/>
      <c r="F38" s="307"/>
      <c r="G38" s="307"/>
      <c r="H38" s="150"/>
      <c r="I38" s="152"/>
      <c r="J38" s="149"/>
      <c r="L38" s="307" t="str">
        <f>"("&amp;BAHTTEXT(M37)&amp;")"</f>
        <v>(ศูนย์บาทถ้วน)</v>
      </c>
      <c r="M38" s="307"/>
      <c r="N38" s="307"/>
      <c r="O38" s="307"/>
      <c r="P38" s="307"/>
      <c r="R38" s="152"/>
    </row>
    <row r="39" spans="1:18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  <c r="J39" s="149"/>
      <c r="L39" s="147"/>
      <c r="M39" s="147"/>
      <c r="N39" s="147"/>
      <c r="O39" s="147"/>
      <c r="P39" s="147"/>
      <c r="R39" s="152"/>
    </row>
    <row r="40" spans="1:18" ht="17.100000000000001" customHeight="1" x14ac:dyDescent="0.2">
      <c r="A40" s="149"/>
      <c r="B40" s="150"/>
      <c r="C40" s="147"/>
      <c r="D40" s="147"/>
      <c r="E40" s="147"/>
      <c r="F40" s="147"/>
      <c r="G40" s="147"/>
      <c r="H40" s="150"/>
      <c r="I40" s="152"/>
      <c r="J40" s="149"/>
      <c r="L40" s="147"/>
      <c r="M40" s="147"/>
      <c r="N40" s="147"/>
      <c r="O40" s="147"/>
      <c r="P40" s="147"/>
      <c r="R40" s="152"/>
    </row>
    <row r="41" spans="1:18" ht="17.100000000000001" customHeight="1" x14ac:dyDescent="0.2">
      <c r="A41" s="149"/>
      <c r="B41" s="150"/>
      <c r="C41" s="150"/>
      <c r="D41" s="150"/>
      <c r="E41" s="150"/>
      <c r="F41" s="150"/>
      <c r="G41" s="150"/>
      <c r="H41" s="150"/>
      <c r="I41" s="152"/>
      <c r="J41" s="149"/>
      <c r="R41" s="152"/>
    </row>
    <row r="42" spans="1:18" ht="17.100000000000001" customHeight="1" x14ac:dyDescent="0.2">
      <c r="A42" s="149"/>
      <c r="I42" s="152"/>
      <c r="J42" s="149"/>
      <c r="R42" s="152"/>
    </row>
    <row r="43" spans="1:18" ht="17.100000000000001" customHeight="1" x14ac:dyDescent="0.2">
      <c r="A43" s="308" t="s">
        <v>315</v>
      </c>
      <c r="B43" s="307"/>
      <c r="C43" s="307"/>
      <c r="D43" s="307"/>
      <c r="E43" s="307"/>
      <c r="F43" s="307"/>
      <c r="G43" s="307"/>
      <c r="H43" s="307"/>
      <c r="I43" s="309"/>
      <c r="J43" s="308" t="s">
        <v>315</v>
      </c>
      <c r="K43" s="307"/>
      <c r="L43" s="307"/>
      <c r="M43" s="307"/>
      <c r="N43" s="307"/>
      <c r="O43" s="307"/>
      <c r="P43" s="307"/>
      <c r="Q43" s="307"/>
      <c r="R43" s="309"/>
    </row>
    <row r="44" spans="1:18" ht="17.100000000000001" customHeight="1" x14ac:dyDescent="0.2">
      <c r="A44" s="310" t="s">
        <v>298</v>
      </c>
      <c r="B44" s="311"/>
      <c r="C44" s="311"/>
      <c r="D44" s="311"/>
      <c r="E44" s="311"/>
      <c r="F44" s="311"/>
      <c r="G44" s="311"/>
      <c r="H44" s="311"/>
      <c r="I44" s="312"/>
      <c r="J44" s="310" t="s">
        <v>298</v>
      </c>
      <c r="K44" s="311"/>
      <c r="L44" s="311"/>
      <c r="M44" s="311"/>
      <c r="N44" s="311"/>
      <c r="O44" s="311"/>
      <c r="P44" s="311"/>
      <c r="Q44" s="311"/>
      <c r="R44" s="312"/>
    </row>
    <row r="45" spans="1:18" ht="17.100000000000001" customHeight="1" x14ac:dyDescent="0.2">
      <c r="A45" s="313" t="str">
        <f>A1</f>
        <v>โรงพยาบาลสามโคก  ประจำเดือน  พฤศจิกายน  2568</v>
      </c>
      <c r="B45" s="314"/>
      <c r="C45" s="314"/>
      <c r="D45" s="314"/>
      <c r="E45" s="314"/>
      <c r="F45" s="314"/>
      <c r="G45" s="314"/>
      <c r="H45" s="314"/>
      <c r="I45" s="315"/>
      <c r="J45" s="313" t="str">
        <f>รว!A1</f>
        <v>โรงพยาบาลสามโคก  ประจำเดือน  พฤศจิกายน  2568</v>
      </c>
      <c r="K45" s="314"/>
      <c r="L45" s="314"/>
      <c r="M45" s="314"/>
      <c r="N45" s="314"/>
      <c r="O45" s="314"/>
      <c r="P45" s="314"/>
      <c r="Q45" s="314"/>
      <c r="R45" s="315"/>
    </row>
    <row r="46" spans="1:18" ht="17.100000000000001" customHeight="1" x14ac:dyDescent="0.2">
      <c r="A46" s="308" t="s">
        <v>123</v>
      </c>
      <c r="B46" s="307"/>
      <c r="C46" s="307"/>
      <c r="D46" s="307"/>
      <c r="E46" s="307"/>
      <c r="F46" s="307"/>
      <c r="G46" s="307"/>
      <c r="H46" s="307"/>
      <c r="I46" s="309"/>
      <c r="J46" s="308" t="s">
        <v>335</v>
      </c>
      <c r="K46" s="307"/>
      <c r="L46" s="307"/>
      <c r="M46" s="307"/>
      <c r="N46" s="307"/>
      <c r="O46" s="307"/>
      <c r="P46" s="307"/>
      <c r="Q46" s="307"/>
      <c r="R46" s="309"/>
    </row>
    <row r="47" spans="1:18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  <c r="J47" s="149"/>
      <c r="K47" s="153"/>
      <c r="L47" s="150"/>
      <c r="M47" s="147"/>
      <c r="N47" s="147"/>
      <c r="O47" s="147"/>
      <c r="P47" s="150"/>
      <c r="Q47" s="150"/>
      <c r="R47" s="152"/>
    </row>
    <row r="48" spans="1:18" ht="17.100000000000001" customHeight="1" x14ac:dyDescent="0.2">
      <c r="A48" s="149"/>
      <c r="B48" s="307" t="s">
        <v>9</v>
      </c>
      <c r="C48" s="307"/>
      <c r="D48" s="307"/>
      <c r="E48" s="147"/>
      <c r="F48" s="147"/>
      <c r="G48" s="307" t="s">
        <v>10</v>
      </c>
      <c r="H48" s="307"/>
      <c r="I48" s="152"/>
      <c r="J48" s="149"/>
      <c r="K48" s="307" t="s">
        <v>9</v>
      </c>
      <c r="L48" s="307"/>
      <c r="M48" s="307"/>
      <c r="N48" s="147"/>
      <c r="O48" s="147"/>
      <c r="P48" s="147" t="s">
        <v>10</v>
      </c>
      <c r="Q48" s="147"/>
      <c r="R48" s="152"/>
    </row>
    <row r="49" spans="1:18" ht="17.100000000000001" customHeight="1" x14ac:dyDescent="0.2">
      <c r="A49" s="170"/>
      <c r="B49" s="306" t="s">
        <v>3</v>
      </c>
      <c r="C49" s="306"/>
      <c r="D49" s="154">
        <f>พกส.!E10</f>
        <v>10</v>
      </c>
      <c r="E49" s="154"/>
      <c r="F49" s="155"/>
      <c r="G49" s="150" t="s">
        <v>116</v>
      </c>
      <c r="H49" s="154">
        <f>พกส.!N10</f>
        <v>0</v>
      </c>
      <c r="I49" s="169"/>
      <c r="J49" s="149"/>
      <c r="K49" s="150" t="s">
        <v>3</v>
      </c>
      <c r="L49" s="150"/>
      <c r="M49" s="154">
        <f>พกส.!E24</f>
        <v>0</v>
      </c>
      <c r="N49" s="154"/>
      <c r="O49" s="155"/>
      <c r="P49" s="189" t="s">
        <v>116</v>
      </c>
      <c r="Q49" s="154">
        <f>พกส.!N24</f>
        <v>0</v>
      </c>
      <c r="R49" s="152"/>
    </row>
    <row r="50" spans="1:18" ht="17.100000000000001" customHeight="1" x14ac:dyDescent="0.2">
      <c r="A50" s="170"/>
      <c r="B50" s="306" t="s">
        <v>106</v>
      </c>
      <c r="C50" s="306"/>
      <c r="D50" s="154">
        <v>0</v>
      </c>
      <c r="E50" s="154"/>
      <c r="F50" s="155"/>
      <c r="G50" s="150" t="s">
        <v>54</v>
      </c>
      <c r="H50" s="154">
        <f>พกส.!O10</f>
        <v>0</v>
      </c>
      <c r="I50" s="169"/>
      <c r="J50" s="149"/>
      <c r="K50" s="150" t="s">
        <v>106</v>
      </c>
      <c r="L50" s="150"/>
      <c r="M50" s="154">
        <v>0</v>
      </c>
      <c r="N50" s="154"/>
      <c r="O50" s="155"/>
      <c r="P50" s="189" t="s">
        <v>54</v>
      </c>
      <c r="Q50" s="154">
        <v>0</v>
      </c>
      <c r="R50" s="152"/>
    </row>
    <row r="51" spans="1:18" ht="17.100000000000001" customHeight="1" x14ac:dyDescent="0.2">
      <c r="A51" s="170"/>
      <c r="B51" s="306" t="s">
        <v>107</v>
      </c>
      <c r="C51" s="306"/>
      <c r="D51" s="154">
        <v>0</v>
      </c>
      <c r="E51" s="154"/>
      <c r="F51" s="155"/>
      <c r="G51" s="150" t="s">
        <v>100</v>
      </c>
      <c r="H51" s="154">
        <f>พกส.!P10</f>
        <v>0</v>
      </c>
      <c r="I51" s="169"/>
      <c r="J51" s="149"/>
      <c r="K51" s="306" t="s">
        <v>140</v>
      </c>
      <c r="L51" s="306"/>
      <c r="M51" s="154">
        <v>0</v>
      </c>
      <c r="N51" s="154"/>
      <c r="O51" s="155"/>
      <c r="P51" s="189" t="s">
        <v>100</v>
      </c>
      <c r="Q51" s="154">
        <f>พกส.!P24</f>
        <v>0</v>
      </c>
      <c r="R51" s="152"/>
    </row>
    <row r="52" spans="1:18" ht="17.100000000000001" customHeight="1" x14ac:dyDescent="0.2">
      <c r="A52" s="170"/>
      <c r="B52" s="306" t="s">
        <v>105</v>
      </c>
      <c r="C52" s="306"/>
      <c r="D52" s="154">
        <v>0</v>
      </c>
      <c r="E52" s="154"/>
      <c r="F52" s="155"/>
      <c r="G52" s="150" t="s">
        <v>55</v>
      </c>
      <c r="H52" s="156">
        <v>0</v>
      </c>
      <c r="I52" s="169"/>
      <c r="J52" s="149"/>
      <c r="K52" s="306" t="s">
        <v>130</v>
      </c>
      <c r="L52" s="306"/>
      <c r="M52" s="154">
        <v>0</v>
      </c>
      <c r="N52" s="154"/>
      <c r="O52" s="155"/>
      <c r="P52" s="189" t="s">
        <v>55</v>
      </c>
      <c r="Q52" s="154">
        <v>5800</v>
      </c>
      <c r="R52" s="152"/>
    </row>
    <row r="53" spans="1:18" ht="17.100000000000001" customHeight="1" x14ac:dyDescent="0.2">
      <c r="A53" s="170"/>
      <c r="B53" s="306" t="s">
        <v>661</v>
      </c>
      <c r="C53" s="306"/>
      <c r="D53" s="154">
        <f>พกส.!I10</f>
        <v>0</v>
      </c>
      <c r="E53" s="154"/>
      <c r="F53" s="155"/>
      <c r="G53" s="153" t="s">
        <v>209</v>
      </c>
      <c r="H53" s="171">
        <f>พกส.!R10</f>
        <v>0</v>
      </c>
      <c r="I53" s="169"/>
      <c r="J53" s="149"/>
      <c r="K53" s="306" t="s">
        <v>661</v>
      </c>
      <c r="L53" s="306"/>
      <c r="M53" s="154">
        <f>พกส.!I24</f>
        <v>0</v>
      </c>
      <c r="N53" s="154"/>
      <c r="O53" s="155"/>
      <c r="P53" s="153" t="s">
        <v>209</v>
      </c>
      <c r="Q53" s="156">
        <f>พกส.!R24</f>
        <v>0</v>
      </c>
      <c r="R53" s="152"/>
    </row>
    <row r="54" spans="1:18" ht="17.100000000000001" customHeight="1" x14ac:dyDescent="0.2">
      <c r="A54" s="170"/>
      <c r="B54" s="306" t="s">
        <v>662</v>
      </c>
      <c r="C54" s="306"/>
      <c r="D54" s="154">
        <f>พกส.!J10</f>
        <v>0</v>
      </c>
      <c r="E54" s="154"/>
      <c r="F54" s="155"/>
      <c r="G54" s="153" t="s">
        <v>137</v>
      </c>
      <c r="H54" s="171">
        <v>0</v>
      </c>
      <c r="I54" s="169"/>
      <c r="J54" s="149"/>
      <c r="K54" s="306" t="s">
        <v>119</v>
      </c>
      <c r="L54" s="306"/>
      <c r="M54" s="154">
        <f>พกส.!J24</f>
        <v>0</v>
      </c>
      <c r="N54" s="154"/>
      <c r="O54" s="155"/>
      <c r="P54" s="153" t="s">
        <v>137</v>
      </c>
      <c r="Q54" s="156">
        <v>0</v>
      </c>
      <c r="R54" s="152"/>
    </row>
    <row r="55" spans="1:18" ht="17.100000000000001" customHeight="1" x14ac:dyDescent="0.2">
      <c r="A55" s="170"/>
      <c r="B55" s="306" t="s">
        <v>663</v>
      </c>
      <c r="C55" s="306"/>
      <c r="D55" s="154">
        <f>พกส.!L10</f>
        <v>0</v>
      </c>
      <c r="E55" s="154"/>
      <c r="F55" s="155"/>
      <c r="G55" s="153" t="s">
        <v>377</v>
      </c>
      <c r="H55" s="171">
        <f>พกส.!T10</f>
        <v>2</v>
      </c>
      <c r="I55" s="169"/>
      <c r="J55" s="149"/>
      <c r="K55" s="306" t="s">
        <v>663</v>
      </c>
      <c r="L55" s="306"/>
      <c r="M55" s="154">
        <f>พกส.!L24</f>
        <v>0</v>
      </c>
      <c r="N55" s="154"/>
      <c r="O55" s="155"/>
      <c r="P55" s="153" t="s">
        <v>377</v>
      </c>
      <c r="Q55" s="156">
        <v>0</v>
      </c>
      <c r="R55" s="152"/>
    </row>
    <row r="56" spans="1:18" ht="17.100000000000001" customHeight="1" x14ac:dyDescent="0.2">
      <c r="A56" s="170"/>
      <c r="B56" s="306" t="s">
        <v>6</v>
      </c>
      <c r="C56" s="306"/>
      <c r="D56" s="154">
        <v>0</v>
      </c>
      <c r="E56" s="154"/>
      <c r="F56" s="155"/>
      <c r="G56" s="150" t="s">
        <v>56</v>
      </c>
      <c r="H56" s="156">
        <f>พกส.!U10</f>
        <v>1</v>
      </c>
      <c r="I56" s="169"/>
      <c r="J56" s="149"/>
      <c r="K56" s="306" t="s">
        <v>6</v>
      </c>
      <c r="L56" s="306"/>
      <c r="M56" s="154">
        <v>0</v>
      </c>
      <c r="N56" s="154"/>
      <c r="O56" s="155"/>
      <c r="P56" s="189" t="s">
        <v>56</v>
      </c>
      <c r="Q56" s="156">
        <f>พกส.!U24</f>
        <v>0</v>
      </c>
      <c r="R56" s="152"/>
    </row>
    <row r="57" spans="1:18" ht="17.100000000000001" customHeight="1" x14ac:dyDescent="0.2">
      <c r="A57" s="170"/>
      <c r="B57" s="306" t="s">
        <v>7</v>
      </c>
      <c r="C57" s="306"/>
      <c r="D57" s="154">
        <v>0</v>
      </c>
      <c r="E57" s="154"/>
      <c r="F57" s="155"/>
      <c r="G57" s="150" t="s">
        <v>57</v>
      </c>
      <c r="H57" s="156">
        <f>พกส.!V10</f>
        <v>1</v>
      </c>
      <c r="I57" s="169"/>
      <c r="J57" s="149"/>
      <c r="K57" s="150" t="s">
        <v>7</v>
      </c>
      <c r="L57" s="150"/>
      <c r="M57" s="154">
        <v>0</v>
      </c>
      <c r="N57" s="154"/>
      <c r="O57" s="155"/>
      <c r="P57" s="189" t="s">
        <v>57</v>
      </c>
      <c r="Q57" s="154">
        <f>พกส.!V24</f>
        <v>0</v>
      </c>
      <c r="R57" s="152"/>
    </row>
    <row r="58" spans="1:18" ht="17.100000000000001" customHeight="1" x14ac:dyDescent="0.2">
      <c r="A58" s="170"/>
      <c r="B58" s="307" t="s">
        <v>117</v>
      </c>
      <c r="C58" s="307"/>
      <c r="D58" s="157">
        <f>SUM(D49:D57)</f>
        <v>10</v>
      </c>
      <c r="E58" s="157"/>
      <c r="F58" s="157"/>
      <c r="G58" s="147" t="s">
        <v>118</v>
      </c>
      <c r="H58" s="157">
        <f>SUM(H49:H57)</f>
        <v>4</v>
      </c>
      <c r="I58" s="169"/>
      <c r="J58" s="149"/>
      <c r="K58" s="307" t="s">
        <v>101</v>
      </c>
      <c r="L58" s="307"/>
      <c r="M58" s="154">
        <f>SUM(M49:M57)</f>
        <v>0</v>
      </c>
      <c r="N58" s="154"/>
      <c r="O58" s="157"/>
      <c r="P58" s="147" t="s">
        <v>102</v>
      </c>
      <c r="Q58" s="157">
        <f>SUM(Q49:Q57)</f>
        <v>5800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6</v>
      </c>
      <c r="E59" s="157"/>
      <c r="F59" s="158" t="s">
        <v>104</v>
      </c>
      <c r="H59" s="150"/>
      <c r="I59" s="152"/>
      <c r="J59" s="149"/>
      <c r="K59" s="150"/>
      <c r="L59" s="147" t="s">
        <v>103</v>
      </c>
      <c r="M59" s="157">
        <f>M58-Q58</f>
        <v>-5800</v>
      </c>
      <c r="N59" s="157"/>
      <c r="O59" s="158" t="s">
        <v>104</v>
      </c>
      <c r="Q59" s="150"/>
      <c r="R59" s="152"/>
    </row>
    <row r="60" spans="1:18" ht="17.100000000000001" customHeight="1" x14ac:dyDescent="0.2">
      <c r="A60" s="149"/>
      <c r="B60" s="150"/>
      <c r="C60" s="307" t="str">
        <f>"("&amp;BAHTTEXT(D59)&amp;")"</f>
        <v>(หกบาทถ้วน)</v>
      </c>
      <c r="D60" s="307"/>
      <c r="E60" s="307"/>
      <c r="F60" s="307"/>
      <c r="G60" s="307"/>
      <c r="H60" s="150"/>
      <c r="I60" s="152"/>
      <c r="J60" s="149"/>
      <c r="L60" s="307" t="str">
        <f>"("&amp;BAHTTEXT(M59)&amp;")"</f>
        <v>(ลบห้าพันแปดร้อยบาทถ้วน)</v>
      </c>
      <c r="M60" s="307"/>
      <c r="N60" s="307"/>
      <c r="O60" s="307"/>
      <c r="P60" s="307"/>
      <c r="R60" s="152"/>
    </row>
    <row r="61" spans="1:18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  <c r="J61" s="149"/>
      <c r="L61" s="147"/>
      <c r="M61" s="147"/>
      <c r="N61" s="147"/>
      <c r="O61" s="147"/>
      <c r="P61" s="147"/>
      <c r="R61" s="152"/>
    </row>
    <row r="62" spans="1:18" ht="17.100000000000001" customHeight="1" x14ac:dyDescent="0.2">
      <c r="A62" s="149"/>
      <c r="B62" s="150"/>
      <c r="C62" s="147"/>
      <c r="D62" s="147"/>
      <c r="E62" s="147"/>
      <c r="F62" s="147"/>
      <c r="G62" s="147"/>
      <c r="H62" s="150"/>
      <c r="I62" s="152"/>
      <c r="J62" s="149"/>
      <c r="L62" s="147"/>
      <c r="M62" s="147"/>
      <c r="N62" s="147"/>
      <c r="O62" s="147"/>
      <c r="P62" s="147"/>
      <c r="R62" s="152"/>
    </row>
    <row r="63" spans="1:18" ht="17.100000000000001" customHeight="1" x14ac:dyDescent="0.2">
      <c r="A63" s="149"/>
      <c r="B63" s="150"/>
      <c r="C63" s="147"/>
      <c r="D63" s="147"/>
      <c r="E63" s="147"/>
      <c r="F63" s="147"/>
      <c r="G63" s="147"/>
      <c r="H63" s="150"/>
      <c r="I63" s="152"/>
      <c r="J63" s="149"/>
      <c r="R63" s="152"/>
    </row>
    <row r="64" spans="1:18" ht="17.100000000000001" customHeight="1" x14ac:dyDescent="0.2">
      <c r="A64" s="149"/>
      <c r="B64" s="150"/>
      <c r="C64" s="150"/>
      <c r="D64" s="150"/>
      <c r="E64" s="150"/>
      <c r="F64" s="150"/>
      <c r="G64" s="150"/>
      <c r="H64" s="150"/>
      <c r="I64" s="152"/>
      <c r="J64" s="149"/>
      <c r="R64" s="152"/>
    </row>
    <row r="65" spans="1:18" ht="17.100000000000001" customHeight="1" x14ac:dyDescent="0.2">
      <c r="A65" s="308" t="s">
        <v>315</v>
      </c>
      <c r="B65" s="307"/>
      <c r="C65" s="307"/>
      <c r="D65" s="307"/>
      <c r="E65" s="307"/>
      <c r="F65" s="307"/>
      <c r="G65" s="307"/>
      <c r="H65" s="307"/>
      <c r="I65" s="309"/>
      <c r="J65" s="308" t="s">
        <v>315</v>
      </c>
      <c r="K65" s="307"/>
      <c r="L65" s="307"/>
      <c r="M65" s="307"/>
      <c r="N65" s="307"/>
      <c r="O65" s="307"/>
      <c r="P65" s="307"/>
      <c r="Q65" s="307"/>
      <c r="R65" s="309"/>
    </row>
    <row r="66" spans="1:18" ht="17.100000000000001" customHeight="1" x14ac:dyDescent="0.2">
      <c r="A66" s="310" t="s">
        <v>298</v>
      </c>
      <c r="B66" s="311"/>
      <c r="C66" s="311"/>
      <c r="D66" s="311"/>
      <c r="E66" s="311"/>
      <c r="F66" s="311"/>
      <c r="G66" s="311"/>
      <c r="H66" s="311"/>
      <c r="I66" s="312"/>
      <c r="J66" s="310" t="s">
        <v>298</v>
      </c>
      <c r="K66" s="311"/>
      <c r="L66" s="311"/>
      <c r="M66" s="311"/>
      <c r="N66" s="311"/>
      <c r="O66" s="311"/>
      <c r="P66" s="311"/>
      <c r="Q66" s="311"/>
      <c r="R66" s="312"/>
    </row>
    <row r="67" spans="1:18" ht="17.100000000000001" customHeight="1" x14ac:dyDescent="0.2">
      <c r="A67" s="313" t="str">
        <f>A1</f>
        <v>โรงพยาบาลสามโคก  ประจำเดือน  พฤศจิกายน  2568</v>
      </c>
      <c r="B67" s="314"/>
      <c r="C67" s="314"/>
      <c r="D67" s="314"/>
      <c r="E67" s="314"/>
      <c r="F67" s="314"/>
      <c r="G67" s="314"/>
      <c r="H67" s="314"/>
      <c r="I67" s="315"/>
      <c r="J67" s="313" t="str">
        <f>พกส.1!A221</f>
        <v>โรงพยาบาลสามโคก  ประจำเดือน  พฤศจิกายน  2568</v>
      </c>
      <c r="K67" s="314"/>
      <c r="L67" s="314"/>
      <c r="M67" s="314"/>
      <c r="N67" s="314"/>
      <c r="O67" s="314"/>
      <c r="P67" s="314"/>
      <c r="Q67" s="314"/>
      <c r="R67" s="315"/>
    </row>
    <row r="68" spans="1:18" ht="17.100000000000001" customHeight="1" x14ac:dyDescent="0.2">
      <c r="A68" s="308" t="s">
        <v>267</v>
      </c>
      <c r="B68" s="307"/>
      <c r="C68" s="307"/>
      <c r="D68" s="307"/>
      <c r="E68" s="307"/>
      <c r="F68" s="307"/>
      <c r="G68" s="307"/>
      <c r="H68" s="307"/>
      <c r="I68" s="309"/>
      <c r="J68" s="308" t="s">
        <v>361</v>
      </c>
      <c r="K68" s="307"/>
      <c r="L68" s="307"/>
      <c r="M68" s="307"/>
      <c r="N68" s="307"/>
      <c r="O68" s="307"/>
      <c r="P68" s="307"/>
      <c r="Q68" s="307"/>
      <c r="R68" s="309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  <c r="J69" s="149"/>
      <c r="K69" s="153"/>
      <c r="L69" s="150"/>
      <c r="M69" s="147"/>
      <c r="N69" s="147"/>
      <c r="O69" s="147"/>
      <c r="P69" s="150"/>
      <c r="Q69" s="150"/>
      <c r="R69" s="152"/>
    </row>
    <row r="70" spans="1:18" ht="17.100000000000001" customHeight="1" x14ac:dyDescent="0.2">
      <c r="A70" s="149"/>
      <c r="B70" s="307" t="s">
        <v>9</v>
      </c>
      <c r="C70" s="307"/>
      <c r="D70" s="307"/>
      <c r="E70" s="147"/>
      <c r="F70" s="147"/>
      <c r="G70" s="307" t="s">
        <v>10</v>
      </c>
      <c r="H70" s="307"/>
      <c r="I70" s="152"/>
      <c r="J70" s="149"/>
      <c r="K70" s="307" t="s">
        <v>9</v>
      </c>
      <c r="L70" s="307"/>
      <c r="M70" s="307"/>
      <c r="N70" s="147"/>
      <c r="O70" s="147"/>
      <c r="P70" s="307" t="s">
        <v>10</v>
      </c>
      <c r="Q70" s="307"/>
      <c r="R70" s="152"/>
    </row>
    <row r="71" spans="1:18" ht="17.100000000000001" customHeight="1" x14ac:dyDescent="0.2">
      <c r="A71" s="170"/>
      <c r="B71" s="306" t="s">
        <v>3</v>
      </c>
      <c r="C71" s="306"/>
      <c r="D71" s="154">
        <f>พกส.!E11</f>
        <v>0</v>
      </c>
      <c r="E71" s="154"/>
      <c r="F71" s="155"/>
      <c r="G71" s="189" t="s">
        <v>116</v>
      </c>
      <c r="H71" s="154">
        <f>พกส.!N11</f>
        <v>0</v>
      </c>
      <c r="I71" s="169"/>
      <c r="J71" s="170"/>
      <c r="K71" s="306" t="s">
        <v>3</v>
      </c>
      <c r="L71" s="306"/>
      <c r="M71" s="154">
        <f>พกส.!E27</f>
        <v>0</v>
      </c>
      <c r="N71" s="154"/>
      <c r="O71" s="155"/>
      <c r="P71" s="189" t="s">
        <v>116</v>
      </c>
      <c r="Q71" s="154">
        <f>พกส.!N27</f>
        <v>0</v>
      </c>
      <c r="R71" s="169"/>
    </row>
    <row r="72" spans="1:18" ht="17.100000000000001" customHeight="1" x14ac:dyDescent="0.2">
      <c r="A72" s="170"/>
      <c r="B72" s="306" t="s">
        <v>106</v>
      </c>
      <c r="C72" s="306"/>
      <c r="D72" s="154">
        <v>0</v>
      </c>
      <c r="E72" s="154"/>
      <c r="F72" s="155"/>
      <c r="G72" s="189" t="s">
        <v>54</v>
      </c>
      <c r="H72" s="154">
        <v>0</v>
      </c>
      <c r="I72" s="169"/>
      <c r="J72" s="170"/>
      <c r="K72" s="306" t="s">
        <v>106</v>
      </c>
      <c r="L72" s="306"/>
      <c r="M72" s="154">
        <v>0</v>
      </c>
      <c r="N72" s="154"/>
      <c r="O72" s="155"/>
      <c r="P72" s="189" t="s">
        <v>54</v>
      </c>
      <c r="Q72" s="154">
        <f>พกส.!O27</f>
        <v>0</v>
      </c>
      <c r="R72" s="169"/>
    </row>
    <row r="73" spans="1:18" ht="17.100000000000001" customHeight="1" x14ac:dyDescent="0.2">
      <c r="A73" s="170"/>
      <c r="B73" s="306" t="s">
        <v>107</v>
      </c>
      <c r="C73" s="306"/>
      <c r="D73" s="154">
        <v>0</v>
      </c>
      <c r="E73" s="154"/>
      <c r="F73" s="155"/>
      <c r="G73" s="189" t="s">
        <v>100</v>
      </c>
      <c r="H73" s="154">
        <v>0</v>
      </c>
      <c r="I73" s="169"/>
      <c r="J73" s="170"/>
      <c r="K73" s="306" t="s">
        <v>107</v>
      </c>
      <c r="L73" s="306"/>
      <c r="M73" s="154">
        <v>0</v>
      </c>
      <c r="N73" s="154"/>
      <c r="O73" s="155"/>
      <c r="P73" s="189" t="s">
        <v>100</v>
      </c>
      <c r="Q73" s="154">
        <v>0</v>
      </c>
      <c r="R73" s="169"/>
    </row>
    <row r="74" spans="1:18" ht="17.100000000000001" customHeight="1" x14ac:dyDescent="0.2">
      <c r="A74" s="170"/>
      <c r="B74" s="306" t="s">
        <v>105</v>
      </c>
      <c r="C74" s="306"/>
      <c r="D74" s="154">
        <v>0</v>
      </c>
      <c r="E74" s="154"/>
      <c r="F74" s="155"/>
      <c r="G74" s="189" t="s">
        <v>55</v>
      </c>
      <c r="H74" s="154">
        <v>0</v>
      </c>
      <c r="I74" s="169"/>
      <c r="J74" s="170"/>
      <c r="K74" s="306" t="s">
        <v>105</v>
      </c>
      <c r="L74" s="306"/>
      <c r="M74" s="154">
        <v>0</v>
      </c>
      <c r="N74" s="154"/>
      <c r="O74" s="155"/>
      <c r="P74" s="189" t="s">
        <v>55</v>
      </c>
      <c r="Q74" s="154">
        <f>พกส.!Q27</f>
        <v>0</v>
      </c>
      <c r="R74" s="169"/>
    </row>
    <row r="75" spans="1:18" ht="17.100000000000001" customHeight="1" x14ac:dyDescent="0.2">
      <c r="A75" s="170"/>
      <c r="B75" s="306" t="s">
        <v>661</v>
      </c>
      <c r="C75" s="306"/>
      <c r="D75" s="154">
        <f>พกส.!I11</f>
        <v>0</v>
      </c>
      <c r="E75" s="154"/>
      <c r="F75" s="155"/>
      <c r="G75" s="153" t="s">
        <v>209</v>
      </c>
      <c r="H75" s="156">
        <f>พกส.!R11</f>
        <v>0</v>
      </c>
      <c r="I75" s="169"/>
      <c r="J75" s="170"/>
      <c r="K75" s="306" t="s">
        <v>661</v>
      </c>
      <c r="L75" s="306"/>
      <c r="M75" s="154">
        <f>พกส.!I27</f>
        <v>0</v>
      </c>
      <c r="N75" s="154"/>
      <c r="O75" s="155"/>
      <c r="P75" s="153" t="s">
        <v>209</v>
      </c>
      <c r="Q75" s="156">
        <f>พกส.!R27</f>
        <v>0</v>
      </c>
      <c r="R75" s="169"/>
    </row>
    <row r="76" spans="1:18" ht="17.100000000000001" customHeight="1" x14ac:dyDescent="0.2">
      <c r="A76" s="170"/>
      <c r="B76" s="306" t="s">
        <v>119</v>
      </c>
      <c r="C76" s="306"/>
      <c r="D76" s="154">
        <f>พกส.!J11</f>
        <v>0</v>
      </c>
      <c r="E76" s="154"/>
      <c r="F76" s="155"/>
      <c r="G76" s="153" t="s">
        <v>137</v>
      </c>
      <c r="H76" s="171">
        <v>0</v>
      </c>
      <c r="I76" s="169"/>
      <c r="J76" s="170"/>
      <c r="K76" s="306" t="s">
        <v>662</v>
      </c>
      <c r="L76" s="306"/>
      <c r="M76" s="154">
        <f>พกส.!J27</f>
        <v>0</v>
      </c>
      <c r="N76" s="154"/>
      <c r="O76" s="155"/>
      <c r="P76" s="153" t="s">
        <v>137</v>
      </c>
      <c r="Q76" s="156">
        <v>0</v>
      </c>
      <c r="R76" s="169"/>
    </row>
    <row r="77" spans="1:18" ht="17.100000000000001" customHeight="1" x14ac:dyDescent="0.2">
      <c r="A77" s="170"/>
      <c r="B77" s="306" t="s">
        <v>663</v>
      </c>
      <c r="C77" s="306"/>
      <c r="D77" s="154">
        <f>พกส.!L11</f>
        <v>0</v>
      </c>
      <c r="E77" s="154"/>
      <c r="F77" s="155"/>
      <c r="G77" s="153" t="s">
        <v>377</v>
      </c>
      <c r="H77" s="156">
        <v>0</v>
      </c>
      <c r="I77" s="169"/>
      <c r="J77" s="170"/>
      <c r="K77" s="306" t="s">
        <v>663</v>
      </c>
      <c r="L77" s="306"/>
      <c r="M77" s="154">
        <f>พกส.!L27</f>
        <v>0</v>
      </c>
      <c r="N77" s="154"/>
      <c r="O77" s="155"/>
      <c r="P77" s="153" t="s">
        <v>377</v>
      </c>
      <c r="Q77" s="156">
        <v>416</v>
      </c>
      <c r="R77" s="169"/>
    </row>
    <row r="78" spans="1:18" ht="17.100000000000001" customHeight="1" x14ac:dyDescent="0.2">
      <c r="A78" s="170"/>
      <c r="B78" s="306" t="s">
        <v>6</v>
      </c>
      <c r="C78" s="306"/>
      <c r="D78" s="154">
        <v>0</v>
      </c>
      <c r="E78" s="154"/>
      <c r="F78" s="155"/>
      <c r="G78" s="189" t="s">
        <v>56</v>
      </c>
      <c r="H78" s="156">
        <v>0</v>
      </c>
      <c r="I78" s="169"/>
      <c r="J78" s="170"/>
      <c r="K78" s="306" t="s">
        <v>6</v>
      </c>
      <c r="L78" s="306"/>
      <c r="M78" s="154">
        <v>0</v>
      </c>
      <c r="N78" s="154"/>
      <c r="O78" s="155"/>
      <c r="P78" s="189" t="s">
        <v>56</v>
      </c>
      <c r="Q78" s="156">
        <f>พกส.!V27</f>
        <v>0</v>
      </c>
      <c r="R78" s="169"/>
    </row>
    <row r="79" spans="1:18" ht="17.100000000000001" customHeight="1" x14ac:dyDescent="0.2">
      <c r="A79" s="170"/>
      <c r="B79" s="306" t="s">
        <v>7</v>
      </c>
      <c r="C79" s="306"/>
      <c r="D79" s="154">
        <v>0</v>
      </c>
      <c r="E79" s="154"/>
      <c r="F79" s="155"/>
      <c r="G79" s="189" t="s">
        <v>57</v>
      </c>
      <c r="H79" s="156">
        <f>พกส.!V11</f>
        <v>0</v>
      </c>
      <c r="I79" s="169"/>
      <c r="J79" s="170"/>
      <c r="K79" s="306" t="s">
        <v>7</v>
      </c>
      <c r="L79" s="306"/>
      <c r="M79" s="154">
        <v>0</v>
      </c>
      <c r="N79" s="154"/>
      <c r="O79" s="155"/>
      <c r="P79" s="189" t="s">
        <v>57</v>
      </c>
      <c r="Q79" s="154"/>
      <c r="R79" s="169"/>
    </row>
    <row r="80" spans="1:18" ht="17.100000000000001" customHeight="1" x14ac:dyDescent="0.2">
      <c r="A80" s="170"/>
      <c r="B80" s="307" t="s">
        <v>117</v>
      </c>
      <c r="C80" s="307"/>
      <c r="D80" s="157">
        <f>SUM(D71:D79)</f>
        <v>0</v>
      </c>
      <c r="E80" s="157"/>
      <c r="F80" s="157"/>
      <c r="G80" s="147" t="s">
        <v>118</v>
      </c>
      <c r="H80" s="157">
        <f>SUM(H71:H79)</f>
        <v>0</v>
      </c>
      <c r="I80" s="169"/>
      <c r="J80" s="170"/>
      <c r="K80" s="307" t="s">
        <v>117</v>
      </c>
      <c r="L80" s="307"/>
      <c r="M80" s="157">
        <f>SUM(M71:M79)</f>
        <v>0</v>
      </c>
      <c r="N80" s="157"/>
      <c r="O80" s="157"/>
      <c r="P80" s="147" t="s">
        <v>118</v>
      </c>
      <c r="Q80" s="157">
        <f>SUM(Q71:Q79)</f>
        <v>416</v>
      </c>
      <c r="R80" s="169"/>
    </row>
    <row r="81" spans="1:18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  <c r="J81" s="149"/>
      <c r="K81" s="150"/>
      <c r="L81" s="147" t="s">
        <v>103</v>
      </c>
      <c r="M81" s="157">
        <f>M80-Q80</f>
        <v>-416</v>
      </c>
      <c r="N81" s="157"/>
      <c r="O81" s="158" t="s">
        <v>104</v>
      </c>
      <c r="Q81" s="150"/>
      <c r="R81" s="152"/>
    </row>
    <row r="82" spans="1:18" ht="17.100000000000001" customHeight="1" x14ac:dyDescent="0.2">
      <c r="A82" s="149"/>
      <c r="B82" s="150"/>
      <c r="C82" s="307" t="str">
        <f>"("&amp;BAHTTEXT(D81)&amp;")"</f>
        <v>(ศูนย์บาทถ้วน)</v>
      </c>
      <c r="D82" s="307"/>
      <c r="E82" s="307"/>
      <c r="F82" s="307"/>
      <c r="G82" s="307"/>
      <c r="H82" s="150"/>
      <c r="I82" s="152"/>
      <c r="J82" s="149"/>
      <c r="K82" s="150"/>
      <c r="L82" s="307" t="str">
        <f>"("&amp;BAHTTEXT(M81)&amp;")"</f>
        <v>(ลบสี่ร้อยสิบหกบาทถ้วน)</v>
      </c>
      <c r="M82" s="307"/>
      <c r="N82" s="307"/>
      <c r="O82" s="307"/>
      <c r="P82" s="307"/>
      <c r="Q82" s="150"/>
      <c r="R82" s="152"/>
    </row>
    <row r="83" spans="1:18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  <c r="J83" s="149"/>
      <c r="K83" s="150"/>
      <c r="L83" s="147"/>
      <c r="M83" s="147"/>
      <c r="N83" s="147"/>
      <c r="O83" s="147"/>
      <c r="P83" s="147"/>
      <c r="Q83" s="150"/>
      <c r="R83" s="152"/>
    </row>
    <row r="84" spans="1:18" ht="17.100000000000001" customHeight="1" x14ac:dyDescent="0.2">
      <c r="A84" s="149"/>
      <c r="B84" s="150"/>
      <c r="C84" s="147"/>
      <c r="D84" s="147"/>
      <c r="E84" s="147"/>
      <c r="F84" s="147"/>
      <c r="G84" s="147"/>
      <c r="H84" s="150"/>
      <c r="I84" s="152"/>
      <c r="J84" s="149"/>
      <c r="K84" s="150"/>
      <c r="L84" s="147"/>
      <c r="M84" s="147"/>
      <c r="N84" s="147"/>
      <c r="O84" s="147"/>
      <c r="P84" s="147"/>
      <c r="Q84" s="150"/>
      <c r="R84" s="152"/>
    </row>
    <row r="85" spans="1:18" ht="17.100000000000001" customHeight="1" x14ac:dyDescent="0.2">
      <c r="A85" s="149"/>
      <c r="B85" s="150"/>
      <c r="C85" s="147"/>
      <c r="D85" s="147"/>
      <c r="E85" s="147"/>
      <c r="F85" s="147"/>
      <c r="G85" s="147"/>
      <c r="H85" s="150"/>
      <c r="I85" s="152"/>
      <c r="J85" s="149"/>
      <c r="K85" s="150"/>
      <c r="L85" s="150"/>
      <c r="M85" s="150"/>
      <c r="N85" s="150"/>
      <c r="O85" s="150"/>
      <c r="P85" s="150"/>
      <c r="Q85" s="150"/>
      <c r="R85" s="152"/>
    </row>
    <row r="86" spans="1:18" ht="17.100000000000001" customHeight="1" x14ac:dyDescent="0.2">
      <c r="A86" s="149"/>
      <c r="B86" s="150"/>
      <c r="C86" s="150"/>
      <c r="D86" s="150"/>
      <c r="E86" s="150"/>
      <c r="F86" s="150"/>
      <c r="G86" s="150"/>
      <c r="H86" s="150"/>
      <c r="I86" s="152"/>
      <c r="J86" s="149"/>
      <c r="R86" s="152"/>
    </row>
    <row r="87" spans="1:18" ht="17.100000000000001" customHeight="1" x14ac:dyDescent="0.2">
      <c r="A87" s="308" t="s">
        <v>315</v>
      </c>
      <c r="B87" s="307"/>
      <c r="C87" s="307"/>
      <c r="D87" s="307"/>
      <c r="E87" s="307"/>
      <c r="F87" s="307"/>
      <c r="G87" s="307"/>
      <c r="H87" s="307"/>
      <c r="I87" s="309"/>
      <c r="J87" s="308" t="s">
        <v>315</v>
      </c>
      <c r="K87" s="307"/>
      <c r="L87" s="307"/>
      <c r="M87" s="307"/>
      <c r="N87" s="307"/>
      <c r="O87" s="307"/>
      <c r="P87" s="307"/>
      <c r="Q87" s="307"/>
      <c r="R87" s="309"/>
    </row>
    <row r="88" spans="1:18" ht="17.100000000000001" customHeight="1" x14ac:dyDescent="0.2">
      <c r="A88" s="310" t="s">
        <v>298</v>
      </c>
      <c r="B88" s="311"/>
      <c r="C88" s="311"/>
      <c r="D88" s="311"/>
      <c r="E88" s="311"/>
      <c r="F88" s="311"/>
      <c r="G88" s="311"/>
      <c r="H88" s="311"/>
      <c r="I88" s="312"/>
      <c r="J88" s="310" t="s">
        <v>298</v>
      </c>
      <c r="K88" s="311"/>
      <c r="L88" s="311"/>
      <c r="M88" s="311"/>
      <c r="N88" s="311"/>
      <c r="O88" s="311"/>
      <c r="P88" s="311"/>
      <c r="Q88" s="311"/>
      <c r="R88" s="312"/>
    </row>
    <row r="89" spans="1:18" ht="17.100000000000001" customHeight="1" x14ac:dyDescent="0.2">
      <c r="A89" s="313" t="str">
        <f>พกส.1!A221</f>
        <v>โรงพยาบาลสามโคก  ประจำเดือน  พฤศจิกายน  2568</v>
      </c>
      <c r="B89" s="314"/>
      <c r="C89" s="314"/>
      <c r="D89" s="314"/>
      <c r="E89" s="314"/>
      <c r="F89" s="314"/>
      <c r="G89" s="314"/>
      <c r="H89" s="314"/>
      <c r="I89" s="315"/>
      <c r="J89" s="313" t="str">
        <f>พกส.1!A221</f>
        <v>โรงพยาบาลสามโคก  ประจำเดือน  พฤศจิกายน  2568</v>
      </c>
      <c r="K89" s="314"/>
      <c r="L89" s="314"/>
      <c r="M89" s="314"/>
      <c r="N89" s="314"/>
      <c r="O89" s="314"/>
      <c r="P89" s="314"/>
      <c r="Q89" s="314"/>
      <c r="R89" s="315"/>
    </row>
    <row r="90" spans="1:18" ht="17.100000000000001" customHeight="1" x14ac:dyDescent="0.2">
      <c r="A90" s="308" t="s">
        <v>121</v>
      </c>
      <c r="B90" s="307"/>
      <c r="C90" s="307"/>
      <c r="D90" s="307"/>
      <c r="E90" s="307"/>
      <c r="F90" s="307"/>
      <c r="G90" s="307"/>
      <c r="H90" s="307"/>
      <c r="I90" s="309"/>
      <c r="J90" s="308" t="s">
        <v>387</v>
      </c>
      <c r="K90" s="307"/>
      <c r="L90" s="307"/>
      <c r="M90" s="307"/>
      <c r="N90" s="307"/>
      <c r="O90" s="307"/>
      <c r="P90" s="307"/>
      <c r="Q90" s="307"/>
      <c r="R90" s="309"/>
    </row>
    <row r="91" spans="1:18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  <c r="J91" s="149"/>
      <c r="K91" s="150"/>
      <c r="L91" s="150"/>
      <c r="M91" s="147"/>
      <c r="N91" s="147"/>
      <c r="O91" s="147"/>
      <c r="P91" s="150"/>
      <c r="R91" s="152"/>
    </row>
    <row r="92" spans="1:18" ht="17.100000000000001" customHeight="1" x14ac:dyDescent="0.2">
      <c r="A92" s="149"/>
      <c r="B92" s="307" t="s">
        <v>9</v>
      </c>
      <c r="C92" s="307"/>
      <c r="D92" s="307"/>
      <c r="E92" s="147"/>
      <c r="F92" s="147"/>
      <c r="G92" s="307" t="s">
        <v>10</v>
      </c>
      <c r="H92" s="307"/>
      <c r="I92" s="152"/>
      <c r="J92" s="149"/>
      <c r="K92" s="307" t="s">
        <v>9</v>
      </c>
      <c r="L92" s="307"/>
      <c r="M92" s="307"/>
      <c r="N92" s="147"/>
      <c r="O92" s="147"/>
      <c r="P92" s="307" t="s">
        <v>10</v>
      </c>
      <c r="Q92" s="307"/>
      <c r="R92" s="152"/>
    </row>
    <row r="93" spans="1:18" ht="17.100000000000001" customHeight="1" x14ac:dyDescent="0.2">
      <c r="A93" s="149"/>
      <c r="B93" s="306" t="s">
        <v>3</v>
      </c>
      <c r="C93" s="306"/>
      <c r="D93" s="154">
        <f>พกส.!E12</f>
        <v>0</v>
      </c>
      <c r="E93" s="154"/>
      <c r="F93" s="155"/>
      <c r="G93" s="189" t="s">
        <v>116</v>
      </c>
      <c r="H93" s="154">
        <f>พกส.!N12</f>
        <v>0</v>
      </c>
      <c r="I93" s="169"/>
      <c r="J93" s="170"/>
      <c r="K93" s="306" t="s">
        <v>3</v>
      </c>
      <c r="L93" s="306"/>
      <c r="M93" s="154">
        <f>พกส.!E28</f>
        <v>0</v>
      </c>
      <c r="N93" s="154"/>
      <c r="O93" s="155"/>
      <c r="P93" s="189" t="s">
        <v>116</v>
      </c>
      <c r="Q93" s="154">
        <f>พกส.!N28</f>
        <v>0</v>
      </c>
      <c r="R93" s="169"/>
    </row>
    <row r="94" spans="1:18" ht="17.100000000000001" customHeight="1" x14ac:dyDescent="0.2">
      <c r="A94" s="149"/>
      <c r="B94" s="306" t="s">
        <v>106</v>
      </c>
      <c r="C94" s="306"/>
      <c r="D94" s="154">
        <v>0</v>
      </c>
      <c r="E94" s="154"/>
      <c r="F94" s="155"/>
      <c r="G94" s="189" t="s">
        <v>54</v>
      </c>
      <c r="H94" s="154">
        <v>0</v>
      </c>
      <c r="I94" s="169"/>
      <c r="J94" s="170"/>
      <c r="K94" s="306" t="s">
        <v>106</v>
      </c>
      <c r="L94" s="306"/>
      <c r="M94" s="154">
        <v>0</v>
      </c>
      <c r="N94" s="154"/>
      <c r="O94" s="155"/>
      <c r="P94" s="189" t="s">
        <v>54</v>
      </c>
      <c r="Q94" s="154">
        <v>0</v>
      </c>
      <c r="R94" s="169"/>
    </row>
    <row r="95" spans="1:18" ht="17.100000000000001" customHeight="1" x14ac:dyDescent="0.2">
      <c r="A95" s="149"/>
      <c r="B95" s="306" t="s">
        <v>107</v>
      </c>
      <c r="C95" s="306"/>
      <c r="D95" s="154">
        <v>0</v>
      </c>
      <c r="E95" s="154"/>
      <c r="F95" s="155"/>
      <c r="G95" s="189" t="s">
        <v>100</v>
      </c>
      <c r="H95" s="154">
        <f>พกส.!P12</f>
        <v>0</v>
      </c>
      <c r="I95" s="169"/>
      <c r="J95" s="170"/>
      <c r="K95" s="306" t="s">
        <v>107</v>
      </c>
      <c r="L95" s="306"/>
      <c r="M95" s="154">
        <v>0</v>
      </c>
      <c r="N95" s="154"/>
      <c r="O95" s="155"/>
      <c r="P95" s="189" t="s">
        <v>100</v>
      </c>
      <c r="Q95" s="154">
        <v>0</v>
      </c>
      <c r="R95" s="169"/>
    </row>
    <row r="96" spans="1:18" ht="17.100000000000001" customHeight="1" x14ac:dyDescent="0.2">
      <c r="A96" s="149"/>
      <c r="B96" s="306" t="s">
        <v>105</v>
      </c>
      <c r="C96" s="306"/>
      <c r="D96" s="154">
        <v>0</v>
      </c>
      <c r="E96" s="154"/>
      <c r="F96" s="155"/>
      <c r="G96" s="189" t="s">
        <v>55</v>
      </c>
      <c r="H96" s="154">
        <v>0</v>
      </c>
      <c r="I96" s="169"/>
      <c r="J96" s="170"/>
      <c r="K96" s="306" t="s">
        <v>105</v>
      </c>
      <c r="L96" s="306"/>
      <c r="M96" s="154">
        <v>0</v>
      </c>
      <c r="N96" s="154"/>
      <c r="O96" s="155"/>
      <c r="P96" s="189" t="s">
        <v>55</v>
      </c>
      <c r="Q96" s="154">
        <f>พกส.!Q28</f>
        <v>0</v>
      </c>
      <c r="R96" s="169"/>
    </row>
    <row r="97" spans="1:18" ht="17.100000000000001" customHeight="1" x14ac:dyDescent="0.2">
      <c r="A97" s="149"/>
      <c r="B97" s="306" t="s">
        <v>661</v>
      </c>
      <c r="C97" s="306"/>
      <c r="D97" s="154">
        <f>พกส.!I12</f>
        <v>0</v>
      </c>
      <c r="E97" s="154"/>
      <c r="F97" s="155"/>
      <c r="G97" s="153" t="s">
        <v>209</v>
      </c>
      <c r="H97" s="156">
        <f>พกส.!R12</f>
        <v>0</v>
      </c>
      <c r="I97" s="169"/>
      <c r="J97" s="170"/>
      <c r="K97" s="306" t="s">
        <v>661</v>
      </c>
      <c r="L97" s="306"/>
      <c r="M97" s="154">
        <f>พกส.!I28</f>
        <v>0</v>
      </c>
      <c r="N97" s="154"/>
      <c r="O97" s="155"/>
      <c r="P97" s="153" t="s">
        <v>209</v>
      </c>
      <c r="Q97" s="156">
        <v>0</v>
      </c>
      <c r="R97" s="169"/>
    </row>
    <row r="98" spans="1:18" ht="17.100000000000001" customHeight="1" x14ac:dyDescent="0.2">
      <c r="A98" s="149"/>
      <c r="B98" s="306" t="s">
        <v>119</v>
      </c>
      <c r="C98" s="306"/>
      <c r="D98" s="154">
        <v>0</v>
      </c>
      <c r="E98" s="154"/>
      <c r="F98" s="155"/>
      <c r="G98" s="153" t="s">
        <v>137</v>
      </c>
      <c r="H98" s="156">
        <v>0</v>
      </c>
      <c r="I98" s="169"/>
      <c r="J98" s="170"/>
      <c r="K98" s="306" t="s">
        <v>662</v>
      </c>
      <c r="L98" s="306"/>
      <c r="M98" s="154">
        <f>พกส.!J28</f>
        <v>0</v>
      </c>
      <c r="N98" s="154"/>
      <c r="O98" s="155"/>
      <c r="P98" s="153" t="s">
        <v>137</v>
      </c>
      <c r="Q98" s="156">
        <f>พกส.!R28</f>
        <v>0</v>
      </c>
      <c r="R98" s="169"/>
    </row>
    <row r="99" spans="1:18" ht="17.100000000000001" customHeight="1" x14ac:dyDescent="0.2">
      <c r="A99" s="149"/>
      <c r="B99" s="306" t="s">
        <v>663</v>
      </c>
      <c r="C99" s="306"/>
      <c r="D99" s="154">
        <f>พกส.!L12</f>
        <v>0</v>
      </c>
      <c r="E99" s="154"/>
      <c r="F99" s="155"/>
      <c r="G99" s="153" t="s">
        <v>377</v>
      </c>
      <c r="H99" s="156">
        <v>0</v>
      </c>
      <c r="I99" s="169"/>
      <c r="J99" s="170"/>
      <c r="K99" s="306" t="s">
        <v>663</v>
      </c>
      <c r="L99" s="306"/>
      <c r="M99" s="154">
        <f>พกส.!L28</f>
        <v>0</v>
      </c>
      <c r="N99" s="154"/>
      <c r="O99" s="155"/>
      <c r="P99" s="153" t="s">
        <v>377</v>
      </c>
      <c r="Q99" s="156">
        <f>พกส.!T28</f>
        <v>0</v>
      </c>
      <c r="R99" s="169"/>
    </row>
    <row r="100" spans="1:18" ht="17.100000000000001" customHeight="1" x14ac:dyDescent="0.2">
      <c r="A100" s="149"/>
      <c r="B100" s="306" t="s">
        <v>6</v>
      </c>
      <c r="C100" s="306"/>
      <c r="D100" s="154">
        <v>0</v>
      </c>
      <c r="E100" s="154"/>
      <c r="F100" s="155"/>
      <c r="G100" s="189" t="s">
        <v>56</v>
      </c>
      <c r="H100" s="156">
        <v>0</v>
      </c>
      <c r="I100" s="169"/>
      <c r="J100" s="170"/>
      <c r="K100" s="306" t="s">
        <v>6</v>
      </c>
      <c r="L100" s="306"/>
      <c r="M100" s="154">
        <v>0</v>
      </c>
      <c r="N100" s="154"/>
      <c r="O100" s="155"/>
      <c r="P100" s="189" t="s">
        <v>56</v>
      </c>
      <c r="Q100" s="154">
        <f>พกส.!V28</f>
        <v>0</v>
      </c>
      <c r="R100" s="169"/>
    </row>
    <row r="101" spans="1:18" ht="17.100000000000001" customHeight="1" x14ac:dyDescent="0.2">
      <c r="A101" s="149"/>
      <c r="B101" s="306" t="s">
        <v>7</v>
      </c>
      <c r="C101" s="306"/>
      <c r="D101" s="154">
        <v>0</v>
      </c>
      <c r="E101" s="154"/>
      <c r="F101" s="155"/>
      <c r="G101" s="189" t="s">
        <v>57</v>
      </c>
      <c r="H101" s="156">
        <v>0</v>
      </c>
      <c r="I101" s="169"/>
      <c r="J101" s="170"/>
      <c r="K101" s="306" t="s">
        <v>7</v>
      </c>
      <c r="L101" s="306"/>
      <c r="M101" s="154">
        <v>0</v>
      </c>
      <c r="N101" s="154"/>
      <c r="O101" s="155"/>
      <c r="P101" s="189" t="s">
        <v>57</v>
      </c>
      <c r="Q101" s="154">
        <v>0</v>
      </c>
      <c r="R101" s="169"/>
    </row>
    <row r="102" spans="1:18" ht="17.100000000000001" customHeight="1" x14ac:dyDescent="0.2">
      <c r="A102" s="149"/>
      <c r="B102" s="307" t="s">
        <v>117</v>
      </c>
      <c r="C102" s="307"/>
      <c r="D102" s="157">
        <f>SUM(D93:D101)</f>
        <v>0</v>
      </c>
      <c r="E102" s="157"/>
      <c r="F102" s="157"/>
      <c r="G102" s="147" t="s">
        <v>118</v>
      </c>
      <c r="H102" s="157">
        <f>SUM(H93:H101)</f>
        <v>0</v>
      </c>
      <c r="I102" s="169"/>
      <c r="J102" s="170"/>
      <c r="K102" s="307" t="s">
        <v>117</v>
      </c>
      <c r="L102" s="307"/>
      <c r="M102" s="157">
        <f>SUM(M93:M101)</f>
        <v>0</v>
      </c>
      <c r="N102" s="157"/>
      <c r="O102" s="157"/>
      <c r="P102" s="147" t="s">
        <v>118</v>
      </c>
      <c r="Q102" s="157">
        <f>SUM(Q93:Q101)</f>
        <v>0</v>
      </c>
      <c r="R102" s="169"/>
    </row>
    <row r="103" spans="1:18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  <c r="J103" s="149"/>
      <c r="K103" s="150"/>
      <c r="L103" s="147" t="s">
        <v>103</v>
      </c>
      <c r="M103" s="157">
        <f>M102-Q102</f>
        <v>0</v>
      </c>
      <c r="N103" s="157"/>
      <c r="O103" s="158" t="s">
        <v>104</v>
      </c>
      <c r="Q103" s="150"/>
      <c r="R103" s="152"/>
    </row>
    <row r="104" spans="1:18" ht="17.100000000000001" customHeight="1" x14ac:dyDescent="0.2">
      <c r="A104" s="149"/>
      <c r="B104" s="150"/>
      <c r="C104" s="307" t="str">
        <f>"("&amp;BAHTTEXT(D103)&amp;")"</f>
        <v>(ศูนย์บาทถ้วน)</v>
      </c>
      <c r="D104" s="307"/>
      <c r="E104" s="307"/>
      <c r="F104" s="307"/>
      <c r="G104" s="307"/>
      <c r="H104" s="150"/>
      <c r="I104" s="152"/>
      <c r="J104" s="149"/>
      <c r="K104" s="150"/>
      <c r="L104" s="307" t="str">
        <f>"("&amp;BAHTTEXT(M103)&amp;")"</f>
        <v>(ศูนย์บาทถ้วน)</v>
      </c>
      <c r="M104" s="307"/>
      <c r="N104" s="307"/>
      <c r="O104" s="307"/>
      <c r="P104" s="307"/>
      <c r="Q104" s="150"/>
      <c r="R104" s="152"/>
    </row>
    <row r="105" spans="1:18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  <c r="J105" s="149"/>
      <c r="K105" s="150"/>
      <c r="L105" s="147"/>
      <c r="M105" s="147"/>
      <c r="N105" s="147"/>
      <c r="O105" s="147"/>
      <c r="P105" s="147"/>
      <c r="Q105" s="150"/>
      <c r="R105" s="152"/>
    </row>
    <row r="106" spans="1:18" ht="17.100000000000001" customHeight="1" x14ac:dyDescent="0.2">
      <c r="A106" s="149"/>
      <c r="B106" s="150"/>
      <c r="C106" s="147"/>
      <c r="D106" s="147"/>
      <c r="E106" s="147"/>
      <c r="F106" s="147"/>
      <c r="G106" s="147"/>
      <c r="H106" s="150"/>
      <c r="I106" s="152"/>
      <c r="J106" s="149"/>
      <c r="K106" s="150"/>
      <c r="L106" s="147"/>
      <c r="M106" s="147"/>
      <c r="N106" s="147"/>
      <c r="O106" s="147"/>
      <c r="P106" s="147"/>
      <c r="Q106" s="150"/>
      <c r="R106" s="152"/>
    </row>
    <row r="107" spans="1:18" ht="17.100000000000001" customHeight="1" x14ac:dyDescent="0.2">
      <c r="A107" s="149"/>
      <c r="B107" s="150"/>
      <c r="C107" s="147"/>
      <c r="D107" s="147"/>
      <c r="E107" s="147"/>
      <c r="F107" s="147"/>
      <c r="G107" s="147"/>
      <c r="H107" s="150"/>
      <c r="I107" s="152"/>
      <c r="J107" s="149"/>
      <c r="K107" s="150"/>
      <c r="L107" s="150"/>
      <c r="M107" s="150"/>
      <c r="N107" s="150"/>
      <c r="O107" s="150"/>
      <c r="P107" s="150"/>
      <c r="Q107" s="150"/>
      <c r="R107" s="152"/>
    </row>
    <row r="108" spans="1:18" ht="17.100000000000001" customHeight="1" x14ac:dyDescent="0.2">
      <c r="A108" s="149"/>
      <c r="B108" s="150"/>
      <c r="C108" s="150"/>
      <c r="D108" s="150"/>
      <c r="E108" s="150"/>
      <c r="F108" s="150"/>
      <c r="G108" s="150"/>
      <c r="H108" s="150"/>
      <c r="I108" s="152"/>
      <c r="J108" s="149"/>
      <c r="K108" s="150"/>
      <c r="L108" s="150"/>
      <c r="M108" s="150"/>
      <c r="N108" s="150"/>
      <c r="O108" s="150"/>
      <c r="P108" s="150"/>
      <c r="Q108" s="150"/>
      <c r="R108" s="152"/>
    </row>
    <row r="109" spans="1:18" ht="17.100000000000001" customHeight="1" x14ac:dyDescent="0.2">
      <c r="A109" s="308" t="s">
        <v>315</v>
      </c>
      <c r="B109" s="307"/>
      <c r="C109" s="307"/>
      <c r="D109" s="307"/>
      <c r="E109" s="307"/>
      <c r="F109" s="307"/>
      <c r="G109" s="307"/>
      <c r="H109" s="307"/>
      <c r="I109" s="309"/>
      <c r="J109" s="308" t="s">
        <v>315</v>
      </c>
      <c r="K109" s="307"/>
      <c r="L109" s="307"/>
      <c r="M109" s="307"/>
      <c r="N109" s="307"/>
      <c r="O109" s="307"/>
      <c r="P109" s="307"/>
      <c r="Q109" s="307"/>
      <c r="R109" s="309"/>
    </row>
    <row r="110" spans="1:18" ht="17.100000000000001" customHeight="1" x14ac:dyDescent="0.2">
      <c r="A110" s="310" t="s">
        <v>298</v>
      </c>
      <c r="B110" s="311"/>
      <c r="C110" s="311"/>
      <c r="D110" s="311"/>
      <c r="E110" s="311"/>
      <c r="F110" s="311"/>
      <c r="G110" s="311"/>
      <c r="H110" s="311"/>
      <c r="I110" s="312"/>
      <c r="J110" s="310" t="s">
        <v>298</v>
      </c>
      <c r="K110" s="311"/>
      <c r="L110" s="311"/>
      <c r="M110" s="311"/>
      <c r="N110" s="311"/>
      <c r="O110" s="311"/>
      <c r="P110" s="311"/>
      <c r="Q110" s="311"/>
      <c r="R110" s="312"/>
    </row>
    <row r="111" spans="1:18" ht="17.100000000000001" customHeight="1" x14ac:dyDescent="0.2">
      <c r="A111" s="313" t="str">
        <f>ขร1!A1</f>
        <v>โรงพยาบาลสามโคก  ประจำเดือน  พฤศจิกายน  2568</v>
      </c>
      <c r="B111" s="314"/>
      <c r="C111" s="314"/>
      <c r="D111" s="314"/>
      <c r="E111" s="314"/>
      <c r="F111" s="314"/>
      <c r="G111" s="314"/>
      <c r="H111" s="314"/>
      <c r="I111" s="315"/>
      <c r="J111" s="313" t="str">
        <f>พกส.1!A89</f>
        <v>โรงพยาบาลสามโคก  ประจำเดือน  พฤศจิกายน  2568</v>
      </c>
      <c r="K111" s="314"/>
      <c r="L111" s="314"/>
      <c r="M111" s="314"/>
      <c r="N111" s="314"/>
      <c r="O111" s="314"/>
      <c r="P111" s="314"/>
      <c r="Q111" s="314"/>
      <c r="R111" s="315"/>
    </row>
    <row r="112" spans="1:18" ht="17.100000000000001" customHeight="1" x14ac:dyDescent="0.2">
      <c r="A112" s="308" t="s">
        <v>182</v>
      </c>
      <c r="B112" s="307"/>
      <c r="C112" s="307"/>
      <c r="D112" s="307"/>
      <c r="E112" s="307"/>
      <c r="F112" s="307"/>
      <c r="G112" s="307"/>
      <c r="H112" s="307"/>
      <c r="I112" s="309"/>
      <c r="J112" s="308" t="s">
        <v>316</v>
      </c>
      <c r="K112" s="307"/>
      <c r="L112" s="307"/>
      <c r="M112" s="307"/>
      <c r="N112" s="307"/>
      <c r="O112" s="307"/>
      <c r="P112" s="307"/>
      <c r="Q112" s="307"/>
      <c r="R112" s="309"/>
    </row>
    <row r="113" spans="1:18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  <c r="J113" s="149"/>
      <c r="K113" s="153"/>
      <c r="L113" s="150"/>
      <c r="M113" s="147"/>
      <c r="N113" s="147"/>
      <c r="O113" s="147"/>
      <c r="P113" s="150"/>
      <c r="Q113" s="150"/>
      <c r="R113" s="152"/>
    </row>
    <row r="114" spans="1:18" ht="17.100000000000001" customHeight="1" x14ac:dyDescent="0.2">
      <c r="A114" s="149"/>
      <c r="B114" s="307" t="s">
        <v>9</v>
      </c>
      <c r="C114" s="307"/>
      <c r="D114" s="307"/>
      <c r="E114" s="147"/>
      <c r="F114" s="147"/>
      <c r="G114" s="307" t="s">
        <v>10</v>
      </c>
      <c r="H114" s="307"/>
      <c r="I114" s="152"/>
      <c r="J114" s="149"/>
      <c r="K114" s="307" t="s">
        <v>9</v>
      </c>
      <c r="L114" s="307"/>
      <c r="M114" s="307"/>
      <c r="N114" s="147"/>
      <c r="O114" s="147"/>
      <c r="P114" s="307" t="s">
        <v>10</v>
      </c>
      <c r="Q114" s="307"/>
      <c r="R114" s="152"/>
    </row>
    <row r="115" spans="1:18" ht="17.100000000000001" customHeight="1" x14ac:dyDescent="0.2">
      <c r="A115" s="149"/>
      <c r="B115" s="306" t="s">
        <v>3</v>
      </c>
      <c r="C115" s="306"/>
      <c r="D115" s="154">
        <f>พกส.!E13</f>
        <v>0</v>
      </c>
      <c r="E115" s="154"/>
      <c r="F115" s="155"/>
      <c r="G115" s="189" t="s">
        <v>116</v>
      </c>
      <c r="H115" s="154">
        <f>พกส.!N13</f>
        <v>0</v>
      </c>
      <c r="I115" s="169"/>
      <c r="J115" s="149"/>
      <c r="K115" s="306" t="s">
        <v>3</v>
      </c>
      <c r="L115" s="306"/>
      <c r="M115" s="154">
        <f>พกส.!E29</f>
        <v>0</v>
      </c>
      <c r="N115" s="154"/>
      <c r="O115" s="155"/>
      <c r="P115" s="189" t="s">
        <v>116</v>
      </c>
      <c r="Q115" s="154">
        <f>พกส.!N29</f>
        <v>0</v>
      </c>
      <c r="R115" s="169"/>
    </row>
    <row r="116" spans="1:18" ht="17.100000000000001" customHeight="1" x14ac:dyDescent="0.2">
      <c r="A116" s="149"/>
      <c r="B116" s="306" t="s">
        <v>106</v>
      </c>
      <c r="C116" s="306"/>
      <c r="D116" s="154">
        <v>0</v>
      </c>
      <c r="E116" s="154"/>
      <c r="F116" s="155"/>
      <c r="G116" s="189" t="s">
        <v>54</v>
      </c>
      <c r="H116" s="154">
        <f>พกส.!O13</f>
        <v>0</v>
      </c>
      <c r="I116" s="169"/>
      <c r="J116" s="149"/>
      <c r="K116" s="306" t="s">
        <v>106</v>
      </c>
      <c r="L116" s="306"/>
      <c r="M116" s="154">
        <v>0</v>
      </c>
      <c r="N116" s="154"/>
      <c r="O116" s="155"/>
      <c r="P116" s="189" t="s">
        <v>54</v>
      </c>
      <c r="Q116" s="154">
        <f>พกส.!O29</f>
        <v>0</v>
      </c>
      <c r="R116" s="169"/>
    </row>
    <row r="117" spans="1:18" ht="17.100000000000001" customHeight="1" x14ac:dyDescent="0.2">
      <c r="A117" s="149"/>
      <c r="B117" s="306" t="s">
        <v>107</v>
      </c>
      <c r="C117" s="306"/>
      <c r="D117" s="154">
        <v>0</v>
      </c>
      <c r="E117" s="154"/>
      <c r="F117" s="155"/>
      <c r="G117" s="189" t="s">
        <v>100</v>
      </c>
      <c r="H117" s="154">
        <f>พกส.!P13</f>
        <v>0</v>
      </c>
      <c r="I117" s="169"/>
      <c r="J117" s="149"/>
      <c r="K117" s="306" t="s">
        <v>107</v>
      </c>
      <c r="L117" s="306"/>
      <c r="M117" s="154">
        <v>0</v>
      </c>
      <c r="N117" s="154"/>
      <c r="O117" s="155"/>
      <c r="P117" s="189" t="s">
        <v>100</v>
      </c>
      <c r="Q117" s="154">
        <v>0</v>
      </c>
      <c r="R117" s="169"/>
    </row>
    <row r="118" spans="1:18" ht="17.100000000000001" customHeight="1" x14ac:dyDescent="0.2">
      <c r="A118" s="149"/>
      <c r="B118" s="306" t="s">
        <v>105</v>
      </c>
      <c r="C118" s="306"/>
      <c r="D118" s="154">
        <v>0</v>
      </c>
      <c r="E118" s="154"/>
      <c r="F118" s="155"/>
      <c r="G118" s="189" t="s">
        <v>55</v>
      </c>
      <c r="H118" s="156">
        <v>0</v>
      </c>
      <c r="I118" s="169"/>
      <c r="J118" s="149"/>
      <c r="K118" s="306" t="s">
        <v>105</v>
      </c>
      <c r="L118" s="306"/>
      <c r="M118" s="154">
        <v>0</v>
      </c>
      <c r="N118" s="154"/>
      <c r="O118" s="155"/>
      <c r="P118" s="189" t="s">
        <v>55</v>
      </c>
      <c r="Q118" s="154">
        <f>พกส.!Q29</f>
        <v>0</v>
      </c>
      <c r="R118" s="169"/>
    </row>
    <row r="119" spans="1:18" ht="17.100000000000001" customHeight="1" x14ac:dyDescent="0.2">
      <c r="A119" s="149"/>
      <c r="B119" s="306" t="s">
        <v>661</v>
      </c>
      <c r="C119" s="306"/>
      <c r="D119" s="154">
        <f>พกส.!I13</f>
        <v>0</v>
      </c>
      <c r="E119" s="154"/>
      <c r="F119" s="155"/>
      <c r="G119" s="153" t="s">
        <v>209</v>
      </c>
      <c r="H119" s="156">
        <f>พกส.!R13</f>
        <v>0</v>
      </c>
      <c r="I119" s="169"/>
      <c r="J119" s="149"/>
      <c r="K119" s="306" t="s">
        <v>291</v>
      </c>
      <c r="L119" s="306"/>
      <c r="M119" s="154">
        <f>พกส.!I29</f>
        <v>0</v>
      </c>
      <c r="N119" s="154"/>
      <c r="O119" s="155"/>
      <c r="P119" s="153" t="s">
        <v>209</v>
      </c>
      <c r="Q119" s="156">
        <v>0</v>
      </c>
      <c r="R119" s="169"/>
    </row>
    <row r="120" spans="1:18" ht="17.100000000000001" customHeight="1" x14ac:dyDescent="0.2">
      <c r="A120" s="149"/>
      <c r="B120" s="306" t="s">
        <v>662</v>
      </c>
      <c r="C120" s="306"/>
      <c r="D120" s="154">
        <f>พกส.!J13</f>
        <v>0</v>
      </c>
      <c r="E120" s="154"/>
      <c r="F120" s="155"/>
      <c r="G120" s="153" t="s">
        <v>137</v>
      </c>
      <c r="H120" s="156">
        <f>พกส.!S13</f>
        <v>0</v>
      </c>
      <c r="I120" s="169"/>
      <c r="J120" s="149"/>
      <c r="K120" s="306" t="s">
        <v>119</v>
      </c>
      <c r="L120" s="306"/>
      <c r="M120" s="154">
        <f>พกส.!J29</f>
        <v>0</v>
      </c>
      <c r="N120" s="154"/>
      <c r="O120" s="155"/>
      <c r="P120" s="153" t="s">
        <v>137</v>
      </c>
      <c r="Q120" s="156">
        <f>พกส.!R29</f>
        <v>0</v>
      </c>
      <c r="R120" s="169"/>
    </row>
    <row r="121" spans="1:18" ht="17.100000000000001" customHeight="1" x14ac:dyDescent="0.2">
      <c r="A121" s="149"/>
      <c r="B121" s="306" t="s">
        <v>663</v>
      </c>
      <c r="C121" s="306"/>
      <c r="D121" s="154">
        <f>พกส.!L13</f>
        <v>0</v>
      </c>
      <c r="E121" s="154"/>
      <c r="F121" s="155"/>
      <c r="G121" s="153" t="s">
        <v>377</v>
      </c>
      <c r="H121" s="156">
        <v>0</v>
      </c>
      <c r="I121" s="169"/>
      <c r="J121" s="149"/>
      <c r="K121" s="306" t="s">
        <v>663</v>
      </c>
      <c r="L121" s="306"/>
      <c r="M121" s="154">
        <f>พกส.!L29</f>
        <v>0</v>
      </c>
      <c r="N121" s="154"/>
      <c r="O121" s="155"/>
      <c r="P121" s="153" t="s">
        <v>377</v>
      </c>
      <c r="Q121" s="156">
        <f>พกส.!T29</f>
        <v>0</v>
      </c>
      <c r="R121" s="169"/>
    </row>
    <row r="122" spans="1:18" ht="17.100000000000001" customHeight="1" x14ac:dyDescent="0.2">
      <c r="A122" s="149"/>
      <c r="B122" s="306" t="s">
        <v>6</v>
      </c>
      <c r="C122" s="306"/>
      <c r="D122" s="154">
        <v>0</v>
      </c>
      <c r="E122" s="154"/>
      <c r="F122" s="155"/>
      <c r="G122" s="189" t="s">
        <v>56</v>
      </c>
      <c r="H122" s="171">
        <f>พกส.!U13</f>
        <v>0</v>
      </c>
      <c r="I122" s="169"/>
      <c r="J122" s="149"/>
      <c r="K122" s="306" t="s">
        <v>6</v>
      </c>
      <c r="L122" s="306"/>
      <c r="M122" s="154">
        <v>0</v>
      </c>
      <c r="N122" s="154"/>
      <c r="O122" s="155"/>
      <c r="P122" s="189" t="s">
        <v>56</v>
      </c>
      <c r="Q122" s="154">
        <f>พกส.!V29</f>
        <v>0</v>
      </c>
      <c r="R122" s="169"/>
    </row>
    <row r="123" spans="1:18" ht="17.100000000000001" customHeight="1" x14ac:dyDescent="0.2">
      <c r="A123" s="149"/>
      <c r="B123" s="306" t="s">
        <v>7</v>
      </c>
      <c r="C123" s="306"/>
      <c r="D123" s="154">
        <v>0</v>
      </c>
      <c r="E123" s="154"/>
      <c r="F123" s="155"/>
      <c r="G123" s="189" t="s">
        <v>57</v>
      </c>
      <c r="H123" s="154">
        <f>พกส.!V13</f>
        <v>0</v>
      </c>
      <c r="I123" s="169"/>
      <c r="J123" s="149"/>
      <c r="K123" s="306" t="s">
        <v>7</v>
      </c>
      <c r="L123" s="306"/>
      <c r="M123" s="154">
        <v>0</v>
      </c>
      <c r="N123" s="154"/>
      <c r="O123" s="155"/>
      <c r="P123" s="189" t="s">
        <v>57</v>
      </c>
      <c r="Q123" s="154"/>
      <c r="R123" s="169"/>
    </row>
    <row r="124" spans="1:18" ht="17.100000000000001" customHeight="1" x14ac:dyDescent="0.2">
      <c r="A124" s="149"/>
      <c r="B124" s="307" t="s">
        <v>117</v>
      </c>
      <c r="C124" s="307"/>
      <c r="D124" s="157">
        <f>SUM(D115:D123)</f>
        <v>0</v>
      </c>
      <c r="E124" s="157"/>
      <c r="F124" s="157"/>
      <c r="G124" s="147" t="s">
        <v>118</v>
      </c>
      <c r="H124" s="157">
        <f>SUM(H115:H123)</f>
        <v>0</v>
      </c>
      <c r="I124" s="169"/>
      <c r="J124" s="149"/>
      <c r="K124" s="307" t="s">
        <v>117</v>
      </c>
      <c r="L124" s="307"/>
      <c r="M124" s="157">
        <f>SUM(M115:M123)</f>
        <v>0</v>
      </c>
      <c r="N124" s="157"/>
      <c r="O124" s="157"/>
      <c r="P124" s="147" t="s">
        <v>118</v>
      </c>
      <c r="Q124" s="157">
        <f>SUM(Q115:Q123)</f>
        <v>0</v>
      </c>
      <c r="R124" s="169"/>
    </row>
    <row r="125" spans="1:18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  <c r="J125" s="149"/>
      <c r="K125" s="150"/>
      <c r="L125" s="147" t="s">
        <v>103</v>
      </c>
      <c r="M125" s="157">
        <f>M124-Q124</f>
        <v>0</v>
      </c>
      <c r="N125" s="157"/>
      <c r="O125" s="158" t="s">
        <v>104</v>
      </c>
      <c r="Q125" s="150"/>
      <c r="R125" s="152"/>
    </row>
    <row r="126" spans="1:18" ht="17.100000000000001" customHeight="1" x14ac:dyDescent="0.2">
      <c r="A126" s="149"/>
      <c r="B126" s="150"/>
      <c r="C126" s="307" t="str">
        <f>"("&amp;BAHTTEXT(D125)&amp;")"</f>
        <v>(ศูนย์บาทถ้วน)</v>
      </c>
      <c r="D126" s="307"/>
      <c r="E126" s="307"/>
      <c r="F126" s="307"/>
      <c r="G126" s="307"/>
      <c r="H126" s="150"/>
      <c r="I126" s="152"/>
      <c r="J126" s="149"/>
      <c r="K126" s="150"/>
      <c r="L126" s="307" t="str">
        <f>"("&amp;BAHTTEXT(M125)&amp;")"</f>
        <v>(ศูนย์บาทถ้วน)</v>
      </c>
      <c r="M126" s="307"/>
      <c r="N126" s="307"/>
      <c r="O126" s="307"/>
      <c r="P126" s="307"/>
      <c r="Q126" s="150"/>
      <c r="R126" s="152"/>
    </row>
    <row r="127" spans="1:18" ht="17.100000000000001" customHeight="1" x14ac:dyDescent="0.2">
      <c r="A127" s="149"/>
      <c r="B127" s="150"/>
      <c r="C127" s="147"/>
      <c r="D127" s="147"/>
      <c r="E127" s="147"/>
      <c r="F127" s="147"/>
      <c r="G127" s="147"/>
      <c r="H127" s="150"/>
      <c r="I127" s="152"/>
      <c r="J127" s="149"/>
      <c r="K127" s="150"/>
      <c r="L127" s="147"/>
      <c r="M127" s="147"/>
      <c r="N127" s="147"/>
      <c r="O127" s="147"/>
      <c r="P127" s="147"/>
      <c r="Q127" s="150"/>
      <c r="R127" s="152"/>
    </row>
    <row r="128" spans="1:18" ht="17.100000000000001" customHeight="1" x14ac:dyDescent="0.2">
      <c r="A128" s="149"/>
      <c r="B128" s="150"/>
      <c r="C128" s="147"/>
      <c r="D128" s="147"/>
      <c r="E128" s="147"/>
      <c r="F128" s="147"/>
      <c r="G128" s="147"/>
      <c r="H128" s="150"/>
      <c r="I128" s="152"/>
      <c r="J128" s="149"/>
      <c r="K128" s="150"/>
      <c r="L128" s="147"/>
      <c r="M128" s="147"/>
      <c r="N128" s="147"/>
      <c r="O128" s="147"/>
      <c r="P128" s="147"/>
      <c r="Q128" s="150"/>
      <c r="R128" s="152"/>
    </row>
    <row r="129" spans="1:18" ht="17.100000000000001" customHeight="1" x14ac:dyDescent="0.2">
      <c r="A129" s="149"/>
      <c r="B129" s="150"/>
      <c r="C129" s="150"/>
      <c r="D129" s="150"/>
      <c r="E129" s="150"/>
      <c r="F129" s="150"/>
      <c r="G129" s="150"/>
      <c r="H129" s="150"/>
      <c r="I129" s="152"/>
      <c r="J129" s="149"/>
      <c r="K129" s="150"/>
      <c r="L129" s="150"/>
      <c r="M129" s="150"/>
      <c r="N129" s="150"/>
      <c r="O129" s="150"/>
      <c r="P129" s="150"/>
      <c r="Q129" s="150"/>
      <c r="R129" s="152"/>
    </row>
    <row r="130" spans="1:18" ht="17.100000000000001" customHeight="1" x14ac:dyDescent="0.2">
      <c r="A130" s="149"/>
      <c r="I130" s="152"/>
      <c r="J130" s="149"/>
      <c r="K130" s="150"/>
      <c r="L130" s="150"/>
      <c r="M130" s="150"/>
      <c r="N130" s="150"/>
      <c r="O130" s="150"/>
      <c r="P130" s="150"/>
      <c r="Q130" s="150"/>
      <c r="R130" s="152"/>
    </row>
    <row r="131" spans="1:18" ht="17.100000000000001" customHeight="1" x14ac:dyDescent="0.2">
      <c r="A131" s="308" t="s">
        <v>315</v>
      </c>
      <c r="B131" s="307"/>
      <c r="C131" s="307"/>
      <c r="D131" s="307"/>
      <c r="E131" s="307"/>
      <c r="F131" s="307"/>
      <c r="G131" s="307"/>
      <c r="H131" s="307"/>
      <c r="I131" s="309"/>
      <c r="J131" s="308" t="s">
        <v>315</v>
      </c>
      <c r="K131" s="307"/>
      <c r="L131" s="307"/>
      <c r="M131" s="307"/>
      <c r="N131" s="307"/>
      <c r="O131" s="307"/>
      <c r="P131" s="307"/>
      <c r="Q131" s="307"/>
      <c r="R131" s="309"/>
    </row>
    <row r="132" spans="1:18" ht="17.100000000000001" customHeight="1" x14ac:dyDescent="0.2">
      <c r="A132" s="310" t="s">
        <v>298</v>
      </c>
      <c r="B132" s="311"/>
      <c r="C132" s="311"/>
      <c r="D132" s="311"/>
      <c r="E132" s="311"/>
      <c r="F132" s="311"/>
      <c r="G132" s="311"/>
      <c r="H132" s="311"/>
      <c r="I132" s="312"/>
      <c r="J132" s="310" t="s">
        <v>298</v>
      </c>
      <c r="K132" s="311"/>
      <c r="L132" s="311"/>
      <c r="M132" s="311"/>
      <c r="N132" s="311"/>
      <c r="O132" s="311"/>
      <c r="P132" s="311"/>
      <c r="Q132" s="311"/>
      <c r="R132" s="312"/>
    </row>
    <row r="133" spans="1:18" ht="17.100000000000001" customHeight="1" x14ac:dyDescent="0.2">
      <c r="A133" s="313" t="str">
        <f>พกส.1!A111</f>
        <v>โรงพยาบาลสามโคก  ประจำเดือน  พฤศจิกายน  2568</v>
      </c>
      <c r="B133" s="314"/>
      <c r="C133" s="314"/>
      <c r="D133" s="314"/>
      <c r="E133" s="314"/>
      <c r="F133" s="314"/>
      <c r="G133" s="314"/>
      <c r="H133" s="314"/>
      <c r="I133" s="315"/>
      <c r="J133" s="313" t="str">
        <f>พกส.1!J111</f>
        <v>โรงพยาบาลสามโคก  ประจำเดือน  พฤศจิกายน  2568</v>
      </c>
      <c r="K133" s="314"/>
      <c r="L133" s="314"/>
      <c r="M133" s="314"/>
      <c r="N133" s="314"/>
      <c r="O133" s="314"/>
      <c r="P133" s="314"/>
      <c r="Q133" s="314"/>
      <c r="R133" s="315"/>
    </row>
    <row r="134" spans="1:18" ht="17.100000000000001" customHeight="1" x14ac:dyDescent="0.2">
      <c r="A134" s="308" t="s">
        <v>131</v>
      </c>
      <c r="B134" s="307"/>
      <c r="C134" s="307"/>
      <c r="D134" s="307"/>
      <c r="E134" s="307"/>
      <c r="F134" s="307"/>
      <c r="G134" s="307"/>
      <c r="H134" s="307"/>
      <c r="I134" s="309"/>
      <c r="J134" s="308" t="s">
        <v>440</v>
      </c>
      <c r="K134" s="307"/>
      <c r="L134" s="307"/>
      <c r="M134" s="307"/>
      <c r="N134" s="307"/>
      <c r="O134" s="307"/>
      <c r="P134" s="307"/>
      <c r="Q134" s="307"/>
      <c r="R134" s="309"/>
    </row>
    <row r="135" spans="1:18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  <c r="J135" s="149"/>
      <c r="K135" s="153"/>
      <c r="L135" s="150"/>
      <c r="M135" s="147"/>
      <c r="N135" s="147"/>
      <c r="O135" s="147"/>
      <c r="P135" s="150"/>
      <c r="Q135" s="150"/>
      <c r="R135" s="152"/>
    </row>
    <row r="136" spans="1:18" ht="17.100000000000001" customHeight="1" x14ac:dyDescent="0.2">
      <c r="A136" s="149"/>
      <c r="B136" s="307" t="s">
        <v>9</v>
      </c>
      <c r="C136" s="307"/>
      <c r="D136" s="307"/>
      <c r="E136" s="147"/>
      <c r="F136" s="147"/>
      <c r="G136" s="307" t="s">
        <v>10</v>
      </c>
      <c r="H136" s="307"/>
      <c r="I136" s="152"/>
      <c r="J136" s="149"/>
      <c r="K136" s="307" t="s">
        <v>9</v>
      </c>
      <c r="L136" s="307"/>
      <c r="M136" s="307"/>
      <c r="N136" s="147"/>
      <c r="O136" s="147"/>
      <c r="P136" s="307" t="s">
        <v>10</v>
      </c>
      <c r="Q136" s="307"/>
      <c r="R136" s="152"/>
    </row>
    <row r="137" spans="1:18" ht="17.100000000000001" customHeight="1" x14ac:dyDescent="0.2">
      <c r="A137" s="149"/>
      <c r="B137" s="306" t="s">
        <v>3</v>
      </c>
      <c r="C137" s="306"/>
      <c r="D137" s="154">
        <f>พกส.!E14</f>
        <v>0</v>
      </c>
      <c r="E137" s="154"/>
      <c r="F137" s="155"/>
      <c r="G137" s="189" t="s">
        <v>116</v>
      </c>
      <c r="H137" s="154">
        <f>พกส.!N14</f>
        <v>0</v>
      </c>
      <c r="I137" s="169"/>
      <c r="J137" s="149"/>
      <c r="K137" s="306" t="s">
        <v>3</v>
      </c>
      <c r="L137" s="306"/>
      <c r="M137" s="154">
        <f>พกส.!E30</f>
        <v>0</v>
      </c>
      <c r="N137" s="154"/>
      <c r="O137" s="155"/>
      <c r="P137" s="189" t="s">
        <v>116</v>
      </c>
      <c r="Q137" s="154">
        <f>พกส.!N30</f>
        <v>0</v>
      </c>
      <c r="R137" s="169"/>
    </row>
    <row r="138" spans="1:18" ht="17.100000000000001" customHeight="1" x14ac:dyDescent="0.2">
      <c r="A138" s="149"/>
      <c r="B138" s="306" t="s">
        <v>106</v>
      </c>
      <c r="C138" s="306"/>
      <c r="D138" s="154">
        <v>0</v>
      </c>
      <c r="E138" s="154"/>
      <c r="F138" s="155"/>
      <c r="G138" s="189" t="s">
        <v>54</v>
      </c>
      <c r="H138" s="154">
        <v>0</v>
      </c>
      <c r="I138" s="169"/>
      <c r="J138" s="149"/>
      <c r="K138" s="306" t="s">
        <v>106</v>
      </c>
      <c r="L138" s="306"/>
      <c r="M138" s="154">
        <v>0</v>
      </c>
      <c r="N138" s="154"/>
      <c r="O138" s="155"/>
      <c r="P138" s="189" t="s">
        <v>54</v>
      </c>
      <c r="Q138" s="154">
        <v>0</v>
      </c>
      <c r="R138" s="169"/>
    </row>
    <row r="139" spans="1:18" ht="17.100000000000001" customHeight="1" x14ac:dyDescent="0.2">
      <c r="A139" s="149"/>
      <c r="B139" s="306" t="s">
        <v>107</v>
      </c>
      <c r="C139" s="306"/>
      <c r="D139" s="154">
        <v>0</v>
      </c>
      <c r="E139" s="154"/>
      <c r="F139" s="155"/>
      <c r="G139" s="189" t="s">
        <v>100</v>
      </c>
      <c r="H139" s="154">
        <f>พกส.!P14</f>
        <v>0</v>
      </c>
      <c r="I139" s="169"/>
      <c r="J139" s="149"/>
      <c r="K139" s="306" t="s">
        <v>107</v>
      </c>
      <c r="L139" s="306"/>
      <c r="M139" s="154">
        <v>0</v>
      </c>
      <c r="N139" s="154"/>
      <c r="O139" s="155"/>
      <c r="P139" s="189" t="s">
        <v>100</v>
      </c>
      <c r="Q139" s="154">
        <f>พกส.!O30</f>
        <v>0</v>
      </c>
      <c r="R139" s="169"/>
    </row>
    <row r="140" spans="1:18" ht="17.100000000000001" customHeight="1" x14ac:dyDescent="0.2">
      <c r="A140" s="149"/>
      <c r="B140" s="306" t="s">
        <v>105</v>
      </c>
      <c r="C140" s="306"/>
      <c r="D140" s="154">
        <v>0</v>
      </c>
      <c r="E140" s="154"/>
      <c r="F140" s="155"/>
      <c r="G140" s="189" t="s">
        <v>55</v>
      </c>
      <c r="H140" s="154">
        <v>0</v>
      </c>
      <c r="I140" s="169"/>
      <c r="J140" s="149"/>
      <c r="K140" s="306" t="s">
        <v>105</v>
      </c>
      <c r="L140" s="306"/>
      <c r="M140" s="154">
        <v>0</v>
      </c>
      <c r="N140" s="154"/>
      <c r="O140" s="155"/>
      <c r="P140" s="189" t="s">
        <v>55</v>
      </c>
      <c r="Q140" s="154">
        <f>พกส.!P30</f>
        <v>0</v>
      </c>
      <c r="R140" s="169"/>
    </row>
    <row r="141" spans="1:18" ht="17.100000000000001" customHeight="1" x14ac:dyDescent="0.2">
      <c r="A141" s="149"/>
      <c r="B141" s="306" t="s">
        <v>661</v>
      </c>
      <c r="C141" s="306"/>
      <c r="D141" s="154">
        <f>พกส.!I14</f>
        <v>0</v>
      </c>
      <c r="E141" s="154"/>
      <c r="F141" s="155"/>
      <c r="G141" s="153" t="s">
        <v>209</v>
      </c>
      <c r="H141" s="156">
        <f>พกส.!R14</f>
        <v>0</v>
      </c>
      <c r="I141" s="169"/>
      <c r="J141" s="149"/>
      <c r="K141" s="306" t="s">
        <v>661</v>
      </c>
      <c r="L141" s="306"/>
      <c r="M141" s="154">
        <f>พกส.!I30</f>
        <v>0</v>
      </c>
      <c r="N141" s="154"/>
      <c r="O141" s="155"/>
      <c r="P141" s="153" t="s">
        <v>209</v>
      </c>
      <c r="Q141" s="156">
        <f>พกส.!Q30</f>
        <v>0</v>
      </c>
      <c r="R141" s="169"/>
    </row>
    <row r="142" spans="1:18" ht="17.100000000000001" customHeight="1" x14ac:dyDescent="0.2">
      <c r="A142" s="149"/>
      <c r="B142" s="306" t="s">
        <v>662</v>
      </c>
      <c r="C142" s="306"/>
      <c r="D142" s="154">
        <f>พกส.!J14</f>
        <v>0</v>
      </c>
      <c r="E142" s="154"/>
      <c r="F142" s="155"/>
      <c r="G142" s="153" t="s">
        <v>137</v>
      </c>
      <c r="H142" s="171">
        <f>พกส.!S14</f>
        <v>0</v>
      </c>
      <c r="I142" s="169"/>
      <c r="J142" s="149"/>
      <c r="K142" s="306" t="s">
        <v>662</v>
      </c>
      <c r="L142" s="306"/>
      <c r="M142" s="154">
        <f>พกส.!J30</f>
        <v>0</v>
      </c>
      <c r="N142" s="154"/>
      <c r="O142" s="155"/>
      <c r="P142" s="153" t="s">
        <v>137</v>
      </c>
      <c r="Q142" s="171">
        <f>พกส.!R30</f>
        <v>0</v>
      </c>
      <c r="R142" s="169"/>
    </row>
    <row r="143" spans="1:18" ht="17.100000000000001" customHeight="1" x14ac:dyDescent="0.2">
      <c r="A143" s="149"/>
      <c r="B143" s="306" t="s">
        <v>663</v>
      </c>
      <c r="C143" s="306"/>
      <c r="D143" s="154">
        <f>พกส.!L14</f>
        <v>0</v>
      </c>
      <c r="E143" s="154"/>
      <c r="F143" s="155"/>
      <c r="G143" s="153" t="s">
        <v>377</v>
      </c>
      <c r="H143" s="171">
        <v>0</v>
      </c>
      <c r="I143" s="169"/>
      <c r="J143" s="149"/>
      <c r="K143" s="306" t="s">
        <v>663</v>
      </c>
      <c r="L143" s="306"/>
      <c r="M143" s="154">
        <f>พกส.!L30</f>
        <v>0</v>
      </c>
      <c r="N143" s="154"/>
      <c r="O143" s="155"/>
      <c r="P143" s="153" t="s">
        <v>377</v>
      </c>
      <c r="Q143" s="156">
        <f>พกส.!T30</f>
        <v>0</v>
      </c>
      <c r="R143" s="169"/>
    </row>
    <row r="144" spans="1:18" ht="17.100000000000001" customHeight="1" x14ac:dyDescent="0.2">
      <c r="A144" s="149"/>
      <c r="B144" s="306" t="s">
        <v>6</v>
      </c>
      <c r="C144" s="306"/>
      <c r="D144" s="154">
        <v>0</v>
      </c>
      <c r="E144" s="154"/>
      <c r="F144" s="155"/>
      <c r="G144" s="189" t="s">
        <v>56</v>
      </c>
      <c r="H144" s="156">
        <v>0</v>
      </c>
      <c r="I144" s="169"/>
      <c r="J144" s="149"/>
      <c r="K144" s="306" t="s">
        <v>6</v>
      </c>
      <c r="L144" s="306"/>
      <c r="M144" s="154">
        <v>0</v>
      </c>
      <c r="N144" s="154"/>
      <c r="O144" s="155"/>
      <c r="P144" s="189" t="s">
        <v>56</v>
      </c>
      <c r="Q144" s="156">
        <f>พกส.!V30</f>
        <v>0</v>
      </c>
      <c r="R144" s="169"/>
    </row>
    <row r="145" spans="1:18" ht="17.100000000000001" customHeight="1" x14ac:dyDescent="0.2">
      <c r="A145" s="149"/>
      <c r="B145" s="306" t="s">
        <v>7</v>
      </c>
      <c r="C145" s="306"/>
      <c r="D145" s="154">
        <v>0</v>
      </c>
      <c r="E145" s="154"/>
      <c r="F145" s="155"/>
      <c r="G145" s="189" t="s">
        <v>57</v>
      </c>
      <c r="H145" s="156">
        <f>พกส.!V14</f>
        <v>0</v>
      </c>
      <c r="I145" s="169"/>
      <c r="J145" s="149"/>
      <c r="K145" s="306" t="s">
        <v>7</v>
      </c>
      <c r="L145" s="306"/>
      <c r="M145" s="154">
        <v>0</v>
      </c>
      <c r="N145" s="154"/>
      <c r="O145" s="155"/>
      <c r="P145" s="189" t="s">
        <v>57</v>
      </c>
      <c r="Q145" s="154"/>
      <c r="R145" s="169"/>
    </row>
    <row r="146" spans="1:18" ht="17.100000000000001" customHeight="1" x14ac:dyDescent="0.2">
      <c r="A146" s="149"/>
      <c r="B146" s="307" t="s">
        <v>117</v>
      </c>
      <c r="C146" s="307"/>
      <c r="D146" s="157">
        <f>SUM(D137:D145)</f>
        <v>0</v>
      </c>
      <c r="E146" s="157"/>
      <c r="F146" s="157"/>
      <c r="G146" s="147" t="s">
        <v>118</v>
      </c>
      <c r="H146" s="157">
        <f>SUM(H137:H145)</f>
        <v>0</v>
      </c>
      <c r="I146" s="169"/>
      <c r="J146" s="149"/>
      <c r="K146" s="307" t="s">
        <v>117</v>
      </c>
      <c r="L146" s="307"/>
      <c r="M146" s="157">
        <f>SUM(M137:M145)</f>
        <v>0</v>
      </c>
      <c r="N146" s="157"/>
      <c r="O146" s="157"/>
      <c r="P146" s="147" t="s">
        <v>118</v>
      </c>
      <c r="Q146" s="157">
        <f>SUM(Q137:Q145)</f>
        <v>0</v>
      </c>
      <c r="R146" s="169"/>
    </row>
    <row r="147" spans="1:18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  <c r="J147" s="149"/>
      <c r="K147" s="150"/>
      <c r="L147" s="147" t="s">
        <v>103</v>
      </c>
      <c r="M147" s="157">
        <f>M146-Q146</f>
        <v>0</v>
      </c>
      <c r="N147" s="157"/>
      <c r="O147" s="158" t="s">
        <v>104</v>
      </c>
      <c r="Q147" s="150"/>
      <c r="R147" s="152"/>
    </row>
    <row r="148" spans="1:18" ht="17.100000000000001" customHeight="1" x14ac:dyDescent="0.2">
      <c r="A148" s="149"/>
      <c r="B148" s="150"/>
      <c r="C148" s="307" t="str">
        <f>"("&amp;BAHTTEXT(D147)&amp;")"</f>
        <v>(ศูนย์บาทถ้วน)</v>
      </c>
      <c r="D148" s="307"/>
      <c r="E148" s="307"/>
      <c r="F148" s="307"/>
      <c r="G148" s="307"/>
      <c r="H148" s="150"/>
      <c r="I148" s="152"/>
      <c r="J148" s="149"/>
      <c r="K148" s="150"/>
      <c r="L148" s="307" t="str">
        <f>"("&amp;BAHTTEXT(M147)&amp;")"</f>
        <v>(ศูนย์บาทถ้วน)</v>
      </c>
      <c r="M148" s="307"/>
      <c r="N148" s="307"/>
      <c r="O148" s="307"/>
      <c r="P148" s="307"/>
      <c r="Q148" s="150"/>
      <c r="R148" s="152"/>
    </row>
    <row r="149" spans="1:18" ht="17.100000000000001" customHeight="1" x14ac:dyDescent="0.2">
      <c r="A149" s="149"/>
      <c r="B149" s="150"/>
      <c r="C149" s="147"/>
      <c r="D149" s="147"/>
      <c r="E149" s="147"/>
      <c r="F149" s="147"/>
      <c r="G149" s="147"/>
      <c r="H149" s="150"/>
      <c r="I149" s="152"/>
      <c r="J149" s="149"/>
      <c r="K149" s="150"/>
      <c r="L149" s="147"/>
      <c r="M149" s="147"/>
      <c r="N149" s="147"/>
      <c r="O149" s="147"/>
      <c r="P149" s="147"/>
      <c r="Q149" s="150"/>
      <c r="R149" s="152"/>
    </row>
    <row r="150" spans="1:18" ht="17.100000000000001" customHeight="1" x14ac:dyDescent="0.2">
      <c r="A150" s="149"/>
      <c r="B150" s="150"/>
      <c r="C150" s="147"/>
      <c r="D150" s="147"/>
      <c r="E150" s="147"/>
      <c r="F150" s="147"/>
      <c r="G150" s="147"/>
      <c r="H150" s="150"/>
      <c r="I150" s="152"/>
      <c r="J150" s="149"/>
      <c r="K150" s="150"/>
      <c r="L150" s="147"/>
      <c r="M150" s="147"/>
      <c r="N150" s="147"/>
      <c r="O150" s="147"/>
      <c r="P150" s="147"/>
      <c r="Q150" s="150"/>
      <c r="R150" s="152"/>
    </row>
    <row r="151" spans="1:18" ht="17.100000000000001" customHeight="1" x14ac:dyDescent="0.2">
      <c r="A151" s="149"/>
      <c r="B151" s="150"/>
      <c r="C151" s="150"/>
      <c r="D151" s="150"/>
      <c r="E151" s="150"/>
      <c r="F151" s="150"/>
      <c r="G151" s="150"/>
      <c r="H151" s="150"/>
      <c r="I151" s="152"/>
      <c r="J151" s="149"/>
      <c r="K151" s="150"/>
      <c r="L151" s="147"/>
      <c r="M151" s="147"/>
      <c r="N151" s="147"/>
      <c r="O151" s="147"/>
      <c r="P151" s="147"/>
      <c r="Q151" s="150"/>
      <c r="R151" s="152"/>
    </row>
    <row r="152" spans="1:18" ht="17.100000000000001" customHeight="1" x14ac:dyDescent="0.2">
      <c r="A152" s="149"/>
      <c r="B152" s="150"/>
      <c r="C152" s="150"/>
      <c r="D152" s="150"/>
      <c r="E152" s="150"/>
      <c r="F152" s="150"/>
      <c r="G152" s="150"/>
      <c r="H152" s="150"/>
      <c r="I152" s="152"/>
      <c r="J152" s="149"/>
      <c r="K152" s="150"/>
      <c r="L152" s="150"/>
      <c r="M152" s="150"/>
      <c r="N152" s="150"/>
      <c r="O152" s="150"/>
      <c r="P152" s="150"/>
      <c r="Q152" s="150"/>
      <c r="R152" s="152"/>
    </row>
    <row r="153" spans="1:18" ht="17.100000000000001" customHeight="1" x14ac:dyDescent="0.2">
      <c r="A153" s="308" t="s">
        <v>315</v>
      </c>
      <c r="B153" s="307"/>
      <c r="C153" s="307"/>
      <c r="D153" s="307"/>
      <c r="E153" s="307"/>
      <c r="F153" s="307"/>
      <c r="G153" s="307"/>
      <c r="H153" s="307"/>
      <c r="I153" s="309"/>
      <c r="J153" s="308" t="s">
        <v>315</v>
      </c>
      <c r="K153" s="307"/>
      <c r="L153" s="307"/>
      <c r="M153" s="307"/>
      <c r="N153" s="307"/>
      <c r="O153" s="307"/>
      <c r="P153" s="307"/>
      <c r="Q153" s="307"/>
      <c r="R153" s="309"/>
    </row>
    <row r="154" spans="1:18" ht="17.100000000000001" customHeight="1" x14ac:dyDescent="0.2">
      <c r="A154" s="310" t="s">
        <v>298</v>
      </c>
      <c r="B154" s="311"/>
      <c r="C154" s="311"/>
      <c r="D154" s="311"/>
      <c r="E154" s="311"/>
      <c r="F154" s="311"/>
      <c r="G154" s="311"/>
      <c r="H154" s="311"/>
      <c r="I154" s="312"/>
      <c r="J154" s="310" t="s">
        <v>298</v>
      </c>
      <c r="K154" s="311"/>
      <c r="L154" s="311"/>
      <c r="M154" s="311"/>
      <c r="N154" s="311"/>
      <c r="O154" s="311"/>
      <c r="P154" s="311"/>
      <c r="Q154" s="311"/>
      <c r="R154" s="312"/>
    </row>
    <row r="155" spans="1:18" ht="17.100000000000001" customHeight="1" x14ac:dyDescent="0.2">
      <c r="A155" s="313" t="str">
        <f>พกส.1!A111</f>
        <v>โรงพยาบาลสามโคก  ประจำเดือน  พฤศจิกายน  2568</v>
      </c>
      <c r="B155" s="314"/>
      <c r="C155" s="314"/>
      <c r="D155" s="314"/>
      <c r="E155" s="314"/>
      <c r="F155" s="314"/>
      <c r="G155" s="314"/>
      <c r="H155" s="314"/>
      <c r="I155" s="315"/>
      <c r="J155" s="313" t="str">
        <f>พกส.1!J133</f>
        <v>โรงพยาบาลสามโคก  ประจำเดือน  พฤศจิกายน  2568</v>
      </c>
      <c r="K155" s="314"/>
      <c r="L155" s="314"/>
      <c r="M155" s="314"/>
      <c r="N155" s="314"/>
      <c r="O155" s="314"/>
      <c r="P155" s="314"/>
      <c r="Q155" s="314"/>
      <c r="R155" s="315"/>
    </row>
    <row r="156" spans="1:18" ht="17.100000000000001" customHeight="1" x14ac:dyDescent="0.2">
      <c r="A156" s="308" t="s">
        <v>132</v>
      </c>
      <c r="B156" s="307"/>
      <c r="C156" s="307"/>
      <c r="D156" s="307"/>
      <c r="E156" s="307"/>
      <c r="F156" s="307"/>
      <c r="G156" s="307"/>
      <c r="H156" s="307"/>
      <c r="I156" s="309"/>
      <c r="J156" s="308" t="s">
        <v>441</v>
      </c>
      <c r="K156" s="307"/>
      <c r="L156" s="307"/>
      <c r="M156" s="307"/>
      <c r="N156" s="307"/>
      <c r="O156" s="307"/>
      <c r="P156" s="307"/>
      <c r="Q156" s="307"/>
      <c r="R156" s="309"/>
    </row>
    <row r="157" spans="1:18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  <c r="J157" s="149"/>
      <c r="K157" s="153"/>
      <c r="L157" s="150"/>
      <c r="M157" s="147"/>
      <c r="N157" s="147"/>
      <c r="O157" s="147"/>
      <c r="P157" s="150"/>
      <c r="Q157" s="150"/>
      <c r="R157" s="152"/>
    </row>
    <row r="158" spans="1:18" ht="17.100000000000001" customHeight="1" x14ac:dyDescent="0.2">
      <c r="A158" s="149"/>
      <c r="B158" s="307" t="s">
        <v>9</v>
      </c>
      <c r="C158" s="307"/>
      <c r="D158" s="307"/>
      <c r="E158" s="147"/>
      <c r="F158" s="147"/>
      <c r="G158" s="307" t="s">
        <v>10</v>
      </c>
      <c r="H158" s="307"/>
      <c r="I158" s="152"/>
      <c r="J158" s="149"/>
      <c r="K158" s="307" t="s">
        <v>9</v>
      </c>
      <c r="L158" s="307"/>
      <c r="M158" s="307"/>
      <c r="N158" s="147"/>
      <c r="O158" s="147"/>
      <c r="P158" s="147" t="s">
        <v>10</v>
      </c>
      <c r="Q158" s="147"/>
      <c r="R158" s="152"/>
    </row>
    <row r="159" spans="1:18" ht="17.100000000000001" customHeight="1" x14ac:dyDescent="0.2">
      <c r="A159" s="149"/>
      <c r="B159" s="306" t="s">
        <v>3</v>
      </c>
      <c r="C159" s="306"/>
      <c r="D159" s="154">
        <f>พกส.!E15</f>
        <v>0</v>
      </c>
      <c r="E159" s="154"/>
      <c r="F159" s="155"/>
      <c r="G159" s="189" t="s">
        <v>116</v>
      </c>
      <c r="H159" s="154">
        <f>พกส.!N15</f>
        <v>0</v>
      </c>
      <c r="I159" s="169"/>
      <c r="J159" s="149"/>
      <c r="K159" s="150" t="s">
        <v>3</v>
      </c>
      <c r="L159" s="150"/>
      <c r="M159" s="154">
        <f>พกส.!E31</f>
        <v>0</v>
      </c>
      <c r="N159" s="154"/>
      <c r="O159" s="155"/>
      <c r="P159" s="189" t="s">
        <v>116</v>
      </c>
      <c r="Q159" s="154">
        <f>พกส.!N31</f>
        <v>0</v>
      </c>
      <c r="R159" s="152"/>
    </row>
    <row r="160" spans="1:18" ht="17.100000000000001" customHeight="1" x14ac:dyDescent="0.2">
      <c r="A160" s="149"/>
      <c r="B160" s="306" t="s">
        <v>106</v>
      </c>
      <c r="C160" s="306"/>
      <c r="D160" s="154">
        <f>พกส.!F15</f>
        <v>0</v>
      </c>
      <c r="E160" s="154"/>
      <c r="F160" s="155"/>
      <c r="G160" s="189" t="s">
        <v>54</v>
      </c>
      <c r="H160" s="154">
        <v>0</v>
      </c>
      <c r="I160" s="169"/>
      <c r="J160" s="149"/>
      <c r="K160" s="150" t="s">
        <v>106</v>
      </c>
      <c r="L160" s="150"/>
      <c r="M160" s="154">
        <v>0</v>
      </c>
      <c r="N160" s="154"/>
      <c r="O160" s="155"/>
      <c r="P160" s="189" t="s">
        <v>54</v>
      </c>
      <c r="Q160" s="154">
        <v>0</v>
      </c>
      <c r="R160" s="152"/>
    </row>
    <row r="161" spans="1:18" ht="17.100000000000001" customHeight="1" x14ac:dyDescent="0.2">
      <c r="A161" s="149"/>
      <c r="B161" s="306" t="s">
        <v>107</v>
      </c>
      <c r="C161" s="306"/>
      <c r="D161" s="154">
        <f>พกส.!G15</f>
        <v>0</v>
      </c>
      <c r="E161" s="154"/>
      <c r="F161" s="155"/>
      <c r="G161" s="189" t="s">
        <v>100</v>
      </c>
      <c r="H161" s="154">
        <f>พกส.!P15</f>
        <v>0</v>
      </c>
      <c r="I161" s="169"/>
      <c r="J161" s="149"/>
      <c r="K161" s="306" t="s">
        <v>140</v>
      </c>
      <c r="L161" s="306"/>
      <c r="M161" s="154">
        <v>0</v>
      </c>
      <c r="N161" s="154"/>
      <c r="O161" s="155"/>
      <c r="P161" s="189" t="s">
        <v>100</v>
      </c>
      <c r="Q161" s="154">
        <f>พกส.!O31</f>
        <v>0</v>
      </c>
      <c r="R161" s="152"/>
    </row>
    <row r="162" spans="1:18" ht="17.100000000000001" customHeight="1" x14ac:dyDescent="0.2">
      <c r="A162" s="149"/>
      <c r="B162" s="306" t="s">
        <v>130</v>
      </c>
      <c r="C162" s="306"/>
      <c r="D162" s="154">
        <f>พกส.!H15</f>
        <v>0</v>
      </c>
      <c r="E162" s="154"/>
      <c r="F162" s="155"/>
      <c r="G162" s="189" t="s">
        <v>55</v>
      </c>
      <c r="H162" s="154">
        <v>0</v>
      </c>
      <c r="I162" s="169"/>
      <c r="J162" s="149"/>
      <c r="K162" s="306" t="s">
        <v>668</v>
      </c>
      <c r="L162" s="306"/>
      <c r="M162" s="154">
        <v>1000</v>
      </c>
      <c r="N162" s="154"/>
      <c r="O162" s="155"/>
      <c r="P162" s="189" t="s">
        <v>55</v>
      </c>
      <c r="Q162" s="154">
        <v>0</v>
      </c>
      <c r="R162" s="152"/>
    </row>
    <row r="163" spans="1:18" ht="17.100000000000001" customHeight="1" x14ac:dyDescent="0.2">
      <c r="A163" s="149"/>
      <c r="B163" s="306" t="s">
        <v>661</v>
      </c>
      <c r="C163" s="306"/>
      <c r="D163" s="154">
        <f>พกส.!I15</f>
        <v>0</v>
      </c>
      <c r="E163" s="154"/>
      <c r="F163" s="155"/>
      <c r="G163" s="153" t="s">
        <v>209</v>
      </c>
      <c r="H163" s="156">
        <f>พกส.!R15</f>
        <v>0</v>
      </c>
      <c r="I163" s="169"/>
      <c r="J163" s="149"/>
      <c r="K163" s="306" t="s">
        <v>291</v>
      </c>
      <c r="L163" s="306"/>
      <c r="M163" s="154">
        <f>พกส.!I31</f>
        <v>0</v>
      </c>
      <c r="N163" s="154"/>
      <c r="O163" s="155"/>
      <c r="P163" s="153" t="s">
        <v>209</v>
      </c>
      <c r="Q163" s="156">
        <f>พกส.!Q31</f>
        <v>0</v>
      </c>
      <c r="R163" s="152"/>
    </row>
    <row r="164" spans="1:18" ht="17.100000000000001" customHeight="1" x14ac:dyDescent="0.2">
      <c r="A164" s="149"/>
      <c r="B164" s="306" t="s">
        <v>662</v>
      </c>
      <c r="C164" s="306"/>
      <c r="D164" s="154">
        <f>พกส.!J15</f>
        <v>0</v>
      </c>
      <c r="E164" s="154"/>
      <c r="F164" s="155"/>
      <c r="G164" s="153" t="s">
        <v>137</v>
      </c>
      <c r="H164" s="156">
        <v>0</v>
      </c>
      <c r="I164" s="169"/>
      <c r="J164" s="149"/>
      <c r="K164" s="306" t="s">
        <v>662</v>
      </c>
      <c r="L164" s="306"/>
      <c r="M164" s="154">
        <f>พกส.!J31</f>
        <v>5</v>
      </c>
      <c r="N164" s="154"/>
      <c r="O164" s="155"/>
      <c r="P164" s="153" t="s">
        <v>137</v>
      </c>
      <c r="Q164" s="156">
        <f>พกส.!R31</f>
        <v>0</v>
      </c>
      <c r="R164" s="152"/>
    </row>
    <row r="165" spans="1:18" ht="17.100000000000001" customHeight="1" x14ac:dyDescent="0.2">
      <c r="A165" s="149"/>
      <c r="B165" s="306" t="s">
        <v>663</v>
      </c>
      <c r="C165" s="306"/>
      <c r="D165" s="154">
        <f>พกส.!L15</f>
        <v>0</v>
      </c>
      <c r="E165" s="154"/>
      <c r="F165" s="155"/>
      <c r="G165" s="153" t="s">
        <v>377</v>
      </c>
      <c r="H165" s="156">
        <f>พกส.!S15</f>
        <v>0</v>
      </c>
      <c r="I165" s="169"/>
      <c r="J165" s="149"/>
      <c r="K165" s="306" t="s">
        <v>663</v>
      </c>
      <c r="L165" s="306"/>
      <c r="M165" s="154">
        <f>พกส.!L31</f>
        <v>0</v>
      </c>
      <c r="N165" s="154"/>
      <c r="O165" s="155"/>
      <c r="P165" s="153" t="s">
        <v>377</v>
      </c>
      <c r="Q165" s="171">
        <f>พกส.!T31</f>
        <v>0</v>
      </c>
      <c r="R165" s="152"/>
    </row>
    <row r="166" spans="1:18" ht="17.100000000000001" customHeight="1" x14ac:dyDescent="0.2">
      <c r="A166" s="149"/>
      <c r="B166" s="306" t="s">
        <v>6</v>
      </c>
      <c r="C166" s="306"/>
      <c r="D166" s="154">
        <v>0</v>
      </c>
      <c r="E166" s="154"/>
      <c r="F166" s="155"/>
      <c r="G166" s="189" t="s">
        <v>56</v>
      </c>
      <c r="H166" s="156">
        <f>พกส.!V15</f>
        <v>0</v>
      </c>
      <c r="I166" s="169"/>
      <c r="J166" s="149"/>
      <c r="K166" s="306" t="s">
        <v>6</v>
      </c>
      <c r="L166" s="306"/>
      <c r="M166" s="154">
        <v>0</v>
      </c>
      <c r="N166" s="154"/>
      <c r="O166" s="155"/>
      <c r="P166" s="189" t="s">
        <v>56</v>
      </c>
      <c r="Q166" s="156">
        <v>0</v>
      </c>
      <c r="R166" s="152"/>
    </row>
    <row r="167" spans="1:18" ht="17.100000000000001" customHeight="1" x14ac:dyDescent="0.2">
      <c r="A167" s="149"/>
      <c r="B167" s="306" t="s">
        <v>7</v>
      </c>
      <c r="C167" s="306"/>
      <c r="D167" s="154">
        <f>พกส.!M15</f>
        <v>0</v>
      </c>
      <c r="E167" s="154"/>
      <c r="F167" s="155"/>
      <c r="G167" s="189" t="s">
        <v>57</v>
      </c>
      <c r="H167" s="156">
        <f>พกส.!V16</f>
        <v>0</v>
      </c>
      <c r="I167" s="169"/>
      <c r="J167" s="149"/>
      <c r="K167" s="150" t="s">
        <v>7</v>
      </c>
      <c r="L167" s="150"/>
      <c r="M167" s="154">
        <v>0</v>
      </c>
      <c r="N167" s="154"/>
      <c r="O167" s="155"/>
      <c r="P167" s="189" t="s">
        <v>57</v>
      </c>
      <c r="Q167" s="156">
        <v>0</v>
      </c>
      <c r="R167" s="152"/>
    </row>
    <row r="168" spans="1:18" ht="17.100000000000001" customHeight="1" x14ac:dyDescent="0.2">
      <c r="A168" s="149"/>
      <c r="B168" s="307" t="s">
        <v>117</v>
      </c>
      <c r="C168" s="307"/>
      <c r="D168" s="157">
        <f>SUM(D159:D167)</f>
        <v>0</v>
      </c>
      <c r="E168" s="157"/>
      <c r="F168" s="157"/>
      <c r="G168" s="147" t="s">
        <v>118</v>
      </c>
      <c r="H168" s="157">
        <f>SUM(H159:H167)</f>
        <v>0</v>
      </c>
      <c r="I168" s="169"/>
      <c r="J168" s="149"/>
      <c r="K168" s="307" t="s">
        <v>101</v>
      </c>
      <c r="L168" s="307"/>
      <c r="M168" s="154">
        <f>SUM(M159:M167)</f>
        <v>1005</v>
      </c>
      <c r="N168" s="154"/>
      <c r="O168" s="157"/>
      <c r="P168" s="147" t="s">
        <v>102</v>
      </c>
      <c r="Q168" s="157">
        <f>SUM(Q159:Q167)</f>
        <v>0</v>
      </c>
      <c r="R168" s="152"/>
    </row>
    <row r="169" spans="1:18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  <c r="J169" s="149"/>
      <c r="K169" s="150"/>
      <c r="L169" s="147" t="s">
        <v>103</v>
      </c>
      <c r="M169" s="157">
        <f>M168-Q168</f>
        <v>1005</v>
      </c>
      <c r="N169" s="157"/>
      <c r="O169" s="158" t="s">
        <v>104</v>
      </c>
      <c r="Q169" s="150"/>
      <c r="R169" s="152"/>
    </row>
    <row r="170" spans="1:18" ht="17.100000000000001" customHeight="1" x14ac:dyDescent="0.2">
      <c r="A170" s="149"/>
      <c r="B170" s="150"/>
      <c r="C170" s="307" t="str">
        <f>"("&amp;BAHTTEXT(D169)&amp;")"</f>
        <v>(ศูนย์บาทถ้วน)</v>
      </c>
      <c r="D170" s="307"/>
      <c r="E170" s="307"/>
      <c r="F170" s="307"/>
      <c r="G170" s="307"/>
      <c r="H170" s="150"/>
      <c r="I170" s="152"/>
      <c r="J170" s="149"/>
      <c r="L170" s="307" t="str">
        <f>"("&amp;BAHTTEXT(M169)&amp;")"</f>
        <v>(หนึ่งพันห้าบาทถ้วน)</v>
      </c>
      <c r="M170" s="307"/>
      <c r="N170" s="307"/>
      <c r="O170" s="307"/>
      <c r="P170" s="307"/>
      <c r="R170" s="152"/>
    </row>
    <row r="171" spans="1:18" ht="17.100000000000001" customHeight="1" x14ac:dyDescent="0.2">
      <c r="A171" s="149"/>
      <c r="B171" s="150"/>
      <c r="C171" s="147"/>
      <c r="D171" s="147"/>
      <c r="E171" s="147"/>
      <c r="F171" s="147"/>
      <c r="G171" s="147"/>
      <c r="H171" s="150"/>
      <c r="I171" s="152"/>
      <c r="J171" s="149"/>
      <c r="L171" s="147"/>
      <c r="M171" s="147"/>
      <c r="N171" s="147"/>
      <c r="O171" s="147"/>
      <c r="P171" s="147"/>
      <c r="R171" s="152"/>
    </row>
    <row r="172" spans="1:18" ht="17.100000000000001" customHeight="1" x14ac:dyDescent="0.2">
      <c r="A172" s="149"/>
      <c r="B172" s="150"/>
      <c r="C172" s="147"/>
      <c r="D172" s="147"/>
      <c r="E172" s="147"/>
      <c r="F172" s="147"/>
      <c r="G172" s="147"/>
      <c r="H172" s="150"/>
      <c r="I172" s="152"/>
      <c r="J172" s="149"/>
      <c r="L172" s="147"/>
      <c r="M172" s="147"/>
      <c r="N172" s="147"/>
      <c r="O172" s="147"/>
      <c r="P172" s="147"/>
      <c r="R172" s="152"/>
    </row>
    <row r="173" spans="1:18" ht="17.100000000000001" customHeight="1" x14ac:dyDescent="0.2">
      <c r="A173" s="149"/>
      <c r="B173" s="150"/>
      <c r="C173" s="147"/>
      <c r="D173" s="147"/>
      <c r="E173" s="147"/>
      <c r="F173" s="147"/>
      <c r="G173" s="147"/>
      <c r="H173" s="150"/>
      <c r="I173" s="152"/>
      <c r="J173" s="149"/>
      <c r="R173" s="152"/>
    </row>
    <row r="174" spans="1:18" ht="17.100000000000001" customHeight="1" x14ac:dyDescent="0.2">
      <c r="A174" s="149"/>
      <c r="B174" s="150"/>
      <c r="C174" s="150"/>
      <c r="D174" s="150"/>
      <c r="E174" s="150"/>
      <c r="F174" s="150"/>
      <c r="G174" s="150"/>
      <c r="H174" s="150"/>
      <c r="I174" s="152"/>
      <c r="J174" s="149"/>
      <c r="R174" s="152"/>
    </row>
    <row r="175" spans="1:18" ht="17.100000000000001" customHeight="1" x14ac:dyDescent="0.2">
      <c r="A175" s="308" t="s">
        <v>315</v>
      </c>
      <c r="B175" s="307"/>
      <c r="C175" s="307"/>
      <c r="D175" s="307"/>
      <c r="E175" s="307"/>
      <c r="F175" s="307"/>
      <c r="G175" s="307"/>
      <c r="H175" s="307"/>
      <c r="I175" s="309"/>
      <c r="J175" s="308" t="s">
        <v>315</v>
      </c>
      <c r="K175" s="307"/>
      <c r="L175" s="307"/>
      <c r="M175" s="307"/>
      <c r="N175" s="307"/>
      <c r="O175" s="307"/>
      <c r="P175" s="307"/>
      <c r="Q175" s="307"/>
      <c r="R175" s="309"/>
    </row>
    <row r="176" spans="1:18" ht="17.100000000000001" customHeight="1" x14ac:dyDescent="0.2">
      <c r="A176" s="310" t="s">
        <v>298</v>
      </c>
      <c r="B176" s="311"/>
      <c r="C176" s="311"/>
      <c r="D176" s="311"/>
      <c r="E176" s="311"/>
      <c r="F176" s="311"/>
      <c r="G176" s="311"/>
      <c r="H176" s="311"/>
      <c r="I176" s="312"/>
      <c r="J176" s="310" t="s">
        <v>298</v>
      </c>
      <c r="K176" s="311"/>
      <c r="L176" s="311"/>
      <c r="M176" s="311"/>
      <c r="N176" s="311"/>
      <c r="O176" s="311"/>
      <c r="P176" s="311"/>
      <c r="Q176" s="311"/>
      <c r="R176" s="312"/>
    </row>
    <row r="177" spans="1:18" ht="17.100000000000001" customHeight="1" x14ac:dyDescent="0.2">
      <c r="A177" s="313" t="str">
        <f>A111</f>
        <v>โรงพยาบาลสามโคก  ประจำเดือน  พฤศจิกายน  2568</v>
      </c>
      <c r="B177" s="314"/>
      <c r="C177" s="314"/>
      <c r="D177" s="314"/>
      <c r="E177" s="314"/>
      <c r="F177" s="314"/>
      <c r="G177" s="314"/>
      <c r="H177" s="314"/>
      <c r="I177" s="315"/>
      <c r="J177" s="313" t="str">
        <f>พกส.1!J155</f>
        <v>โรงพยาบาลสามโคก  ประจำเดือน  พฤศจิกายน  2568</v>
      </c>
      <c r="K177" s="314"/>
      <c r="L177" s="314"/>
      <c r="M177" s="314"/>
      <c r="N177" s="314"/>
      <c r="O177" s="314"/>
      <c r="P177" s="314"/>
      <c r="Q177" s="314"/>
      <c r="R177" s="315"/>
    </row>
    <row r="178" spans="1:18" ht="17.100000000000001" customHeight="1" x14ac:dyDescent="0.2">
      <c r="A178" s="308" t="s">
        <v>124</v>
      </c>
      <c r="B178" s="307"/>
      <c r="C178" s="307"/>
      <c r="D178" s="307"/>
      <c r="E178" s="307"/>
      <c r="F178" s="307"/>
      <c r="G178" s="307"/>
      <c r="H178" s="307"/>
      <c r="I178" s="309"/>
      <c r="J178" s="308" t="s">
        <v>364</v>
      </c>
      <c r="K178" s="307"/>
      <c r="L178" s="307"/>
      <c r="M178" s="307"/>
      <c r="N178" s="307"/>
      <c r="O178" s="307"/>
      <c r="P178" s="307"/>
      <c r="Q178" s="307"/>
      <c r="R178" s="309"/>
    </row>
    <row r="179" spans="1:18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  <c r="J179" s="149"/>
      <c r="K179" s="153"/>
      <c r="L179" s="150"/>
      <c r="M179" s="147"/>
      <c r="N179" s="147"/>
      <c r="O179" s="147"/>
      <c r="P179" s="150"/>
      <c r="Q179" s="150"/>
      <c r="R179" s="152"/>
    </row>
    <row r="180" spans="1:18" ht="17.100000000000001" customHeight="1" x14ac:dyDescent="0.2">
      <c r="A180" s="149"/>
      <c r="B180" s="307" t="s">
        <v>9</v>
      </c>
      <c r="C180" s="307"/>
      <c r="D180" s="307"/>
      <c r="E180" s="147"/>
      <c r="F180" s="147"/>
      <c r="G180" s="307" t="s">
        <v>10</v>
      </c>
      <c r="H180" s="307"/>
      <c r="I180" s="152"/>
      <c r="J180" s="149"/>
      <c r="K180" s="307" t="s">
        <v>9</v>
      </c>
      <c r="L180" s="307"/>
      <c r="M180" s="307"/>
      <c r="N180" s="147"/>
      <c r="O180" s="147"/>
      <c r="P180" s="147" t="s">
        <v>10</v>
      </c>
      <c r="Q180" s="147"/>
      <c r="R180" s="152"/>
    </row>
    <row r="181" spans="1:18" ht="17.100000000000001" customHeight="1" x14ac:dyDescent="0.2">
      <c r="A181" s="149"/>
      <c r="B181" s="306" t="s">
        <v>3</v>
      </c>
      <c r="C181" s="306"/>
      <c r="D181" s="154">
        <f>พกส.!E16</f>
        <v>0</v>
      </c>
      <c r="E181" s="154"/>
      <c r="F181" s="155"/>
      <c r="G181" s="189" t="s">
        <v>116</v>
      </c>
      <c r="H181" s="154">
        <f>พกส.!N16</f>
        <v>0</v>
      </c>
      <c r="I181" s="169"/>
      <c r="J181" s="149"/>
      <c r="K181" s="150" t="s">
        <v>3</v>
      </c>
      <c r="L181" s="150"/>
      <c r="M181" s="154">
        <f>พกส.!E32</f>
        <v>0</v>
      </c>
      <c r="N181" s="154"/>
      <c r="O181" s="155"/>
      <c r="P181" s="189" t="s">
        <v>116</v>
      </c>
      <c r="Q181" s="154">
        <f>พกส.!N32</f>
        <v>0</v>
      </c>
      <c r="R181" s="152"/>
    </row>
    <row r="182" spans="1:18" ht="17.100000000000001" customHeight="1" x14ac:dyDescent="0.2">
      <c r="A182" s="149"/>
      <c r="B182" s="306" t="s">
        <v>106</v>
      </c>
      <c r="C182" s="306"/>
      <c r="D182" s="154">
        <f>พกส.!F16</f>
        <v>0</v>
      </c>
      <c r="E182" s="154"/>
      <c r="F182" s="155"/>
      <c r="G182" s="189" t="s">
        <v>54</v>
      </c>
      <c r="H182" s="154">
        <f>พกส.!O16</f>
        <v>0</v>
      </c>
      <c r="I182" s="169"/>
      <c r="J182" s="149"/>
      <c r="K182" s="150" t="s">
        <v>106</v>
      </c>
      <c r="L182" s="150"/>
      <c r="M182" s="154">
        <v>0</v>
      </c>
      <c r="N182" s="154"/>
      <c r="O182" s="155"/>
      <c r="P182" s="189" t="s">
        <v>54</v>
      </c>
      <c r="Q182" s="154">
        <v>0</v>
      </c>
      <c r="R182" s="152"/>
    </row>
    <row r="183" spans="1:18" ht="17.100000000000001" customHeight="1" x14ac:dyDescent="0.2">
      <c r="A183" s="149"/>
      <c r="B183" s="306" t="s">
        <v>107</v>
      </c>
      <c r="C183" s="306"/>
      <c r="D183" s="154">
        <f>พกส.!G16</f>
        <v>0</v>
      </c>
      <c r="E183" s="154"/>
      <c r="F183" s="155"/>
      <c r="G183" s="189" t="s">
        <v>100</v>
      </c>
      <c r="H183" s="154">
        <f>พกส.!P16</f>
        <v>0</v>
      </c>
      <c r="I183" s="169"/>
      <c r="J183" s="149"/>
      <c r="K183" s="306" t="s">
        <v>140</v>
      </c>
      <c r="L183" s="306"/>
      <c r="M183" s="154">
        <v>0</v>
      </c>
      <c r="N183" s="154"/>
      <c r="O183" s="155"/>
      <c r="P183" s="189" t="s">
        <v>100</v>
      </c>
      <c r="Q183" s="154">
        <f>พกส.!O32</f>
        <v>0</v>
      </c>
      <c r="R183" s="152"/>
    </row>
    <row r="184" spans="1:18" ht="17.100000000000001" customHeight="1" x14ac:dyDescent="0.2">
      <c r="A184" s="149"/>
      <c r="B184" s="306" t="s">
        <v>130</v>
      </c>
      <c r="C184" s="306"/>
      <c r="D184" s="172">
        <f>พกส.!H16</f>
        <v>0</v>
      </c>
      <c r="E184" s="154"/>
      <c r="F184" s="155"/>
      <c r="G184" s="189" t="s">
        <v>55</v>
      </c>
      <c r="H184" s="154">
        <f>พกส.!Q16</f>
        <v>0</v>
      </c>
      <c r="I184" s="169"/>
      <c r="J184" s="149"/>
      <c r="K184" s="306" t="s">
        <v>605</v>
      </c>
      <c r="L184" s="306"/>
      <c r="M184" s="154">
        <f>พกส.!H32</f>
        <v>0</v>
      </c>
      <c r="N184" s="154"/>
      <c r="O184" s="155"/>
      <c r="P184" s="189" t="s">
        <v>55</v>
      </c>
      <c r="Q184" s="154">
        <f>พกส.!Q32</f>
        <v>0</v>
      </c>
      <c r="R184" s="152"/>
    </row>
    <row r="185" spans="1:18" ht="17.100000000000001" customHeight="1" x14ac:dyDescent="0.2">
      <c r="A185" s="149"/>
      <c r="B185" s="306" t="s">
        <v>661</v>
      </c>
      <c r="C185" s="306"/>
      <c r="D185" s="154">
        <f>พกส.!I16</f>
        <v>0</v>
      </c>
      <c r="E185" s="154"/>
      <c r="F185" s="155"/>
      <c r="G185" s="153" t="s">
        <v>209</v>
      </c>
      <c r="H185" s="156">
        <f>พกส.!R16</f>
        <v>0</v>
      </c>
      <c r="I185" s="169"/>
      <c r="J185" s="149"/>
      <c r="K185" s="306" t="s">
        <v>558</v>
      </c>
      <c r="L185" s="306"/>
      <c r="M185" s="154">
        <f>พกส.!I32</f>
        <v>0</v>
      </c>
      <c r="N185" s="154"/>
      <c r="O185" s="155"/>
      <c r="P185" s="153" t="s">
        <v>209</v>
      </c>
      <c r="Q185" s="156">
        <v>0</v>
      </c>
      <c r="R185" s="152"/>
    </row>
    <row r="186" spans="1:18" ht="17.100000000000001" customHeight="1" x14ac:dyDescent="0.2">
      <c r="A186" s="149"/>
      <c r="B186" s="306" t="s">
        <v>662</v>
      </c>
      <c r="C186" s="306"/>
      <c r="D186" s="154">
        <f>พกส.!J16</f>
        <v>0</v>
      </c>
      <c r="E186" s="154"/>
      <c r="F186" s="155"/>
      <c r="G186" s="153" t="s">
        <v>137</v>
      </c>
      <c r="H186" s="156">
        <v>0</v>
      </c>
      <c r="I186" s="169"/>
      <c r="J186" s="149"/>
      <c r="K186" s="306" t="s">
        <v>662</v>
      </c>
      <c r="L186" s="306"/>
      <c r="M186" s="154">
        <f>พกส.!J32</f>
        <v>0</v>
      </c>
      <c r="N186" s="154"/>
      <c r="O186" s="155"/>
      <c r="P186" s="153" t="s">
        <v>137</v>
      </c>
      <c r="Q186" s="156">
        <f>พกส.!R32</f>
        <v>0</v>
      </c>
      <c r="R186" s="152"/>
    </row>
    <row r="187" spans="1:18" ht="17.100000000000001" customHeight="1" x14ac:dyDescent="0.2">
      <c r="A187" s="149"/>
      <c r="B187" s="306" t="s">
        <v>663</v>
      </c>
      <c r="C187" s="306"/>
      <c r="D187" s="154">
        <f>พกส.!L16</f>
        <v>0</v>
      </c>
      <c r="E187" s="154"/>
      <c r="F187" s="155"/>
      <c r="G187" s="153" t="s">
        <v>377</v>
      </c>
      <c r="H187" s="156">
        <f>พกส.!V16</f>
        <v>0</v>
      </c>
      <c r="I187" s="169"/>
      <c r="J187" s="149"/>
      <c r="K187" s="306" t="s">
        <v>663</v>
      </c>
      <c r="L187" s="306"/>
      <c r="M187" s="154">
        <f>พกส.!L32</f>
        <v>0</v>
      </c>
      <c r="N187" s="154"/>
      <c r="O187" s="155"/>
      <c r="P187" s="153" t="s">
        <v>377</v>
      </c>
      <c r="Q187" s="156">
        <f>พกส.!T32</f>
        <v>0</v>
      </c>
      <c r="R187" s="152"/>
    </row>
    <row r="188" spans="1:18" ht="17.100000000000001" customHeight="1" x14ac:dyDescent="0.2">
      <c r="A188" s="149"/>
      <c r="B188" s="306" t="s">
        <v>6</v>
      </c>
      <c r="C188" s="306"/>
      <c r="D188" s="154">
        <v>0</v>
      </c>
      <c r="E188" s="154"/>
      <c r="F188" s="155"/>
      <c r="G188" s="189" t="s">
        <v>56</v>
      </c>
      <c r="H188" s="156">
        <f>พกส.!V17</f>
        <v>0</v>
      </c>
      <c r="I188" s="169"/>
      <c r="J188" s="149"/>
      <c r="K188" s="306" t="s">
        <v>6</v>
      </c>
      <c r="L188" s="306"/>
      <c r="M188" s="154">
        <v>0</v>
      </c>
      <c r="N188" s="154"/>
      <c r="O188" s="155"/>
      <c r="P188" s="189" t="s">
        <v>56</v>
      </c>
      <c r="Q188" s="156">
        <v>0</v>
      </c>
      <c r="R188" s="152"/>
    </row>
    <row r="189" spans="1:18" ht="17.100000000000001" customHeight="1" x14ac:dyDescent="0.2">
      <c r="A189" s="149"/>
      <c r="B189" s="306" t="s">
        <v>7</v>
      </c>
      <c r="C189" s="306"/>
      <c r="D189" s="154">
        <f>พกส.!M16</f>
        <v>0</v>
      </c>
      <c r="E189" s="154"/>
      <c r="F189" s="155"/>
      <c r="G189" s="189" t="s">
        <v>57</v>
      </c>
      <c r="I189" s="169"/>
      <c r="J189" s="149"/>
      <c r="K189" s="306" t="s">
        <v>7</v>
      </c>
      <c r="L189" s="306"/>
      <c r="M189" s="154">
        <v>0</v>
      </c>
      <c r="N189" s="154"/>
      <c r="O189" s="155"/>
      <c r="P189" s="189" t="s">
        <v>57</v>
      </c>
      <c r="Q189" s="154"/>
      <c r="R189" s="152"/>
    </row>
    <row r="190" spans="1:18" ht="17.100000000000001" customHeight="1" x14ac:dyDescent="0.2">
      <c r="A190" s="149"/>
      <c r="B190" s="307" t="s">
        <v>117</v>
      </c>
      <c r="C190" s="307"/>
      <c r="D190" s="157">
        <f>SUM(D181:D189)</f>
        <v>0</v>
      </c>
      <c r="E190" s="157"/>
      <c r="F190" s="157"/>
      <c r="G190" s="147" t="s">
        <v>118</v>
      </c>
      <c r="H190" s="157">
        <f>SUM(H181:H188)</f>
        <v>0</v>
      </c>
      <c r="I190" s="169"/>
      <c r="J190" s="149"/>
      <c r="K190" s="307" t="s">
        <v>101</v>
      </c>
      <c r="L190" s="307"/>
      <c r="M190" s="154">
        <f>SUM(M181:M189)</f>
        <v>0</v>
      </c>
      <c r="N190" s="154"/>
      <c r="O190" s="157"/>
      <c r="P190" s="147" t="s">
        <v>102</v>
      </c>
      <c r="Q190" s="157">
        <f>SUM(Q181:Q189)</f>
        <v>0</v>
      </c>
      <c r="R190" s="152"/>
    </row>
    <row r="191" spans="1:18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  <c r="J191" s="149"/>
      <c r="K191" s="150"/>
      <c r="L191" s="147" t="s">
        <v>103</v>
      </c>
      <c r="M191" s="157">
        <f>M190-Q190</f>
        <v>0</v>
      </c>
      <c r="N191" s="157"/>
      <c r="O191" s="158" t="s">
        <v>104</v>
      </c>
      <c r="Q191" s="150"/>
      <c r="R191" s="152"/>
    </row>
    <row r="192" spans="1:18" ht="17.100000000000001" customHeight="1" x14ac:dyDescent="0.2">
      <c r="A192" s="149"/>
      <c r="B192" s="150"/>
      <c r="C192" s="307" t="str">
        <f>"("&amp;BAHTTEXT(D191)&amp;")"</f>
        <v>(ศูนย์บาทถ้วน)</v>
      </c>
      <c r="D192" s="307"/>
      <c r="E192" s="307"/>
      <c r="F192" s="307"/>
      <c r="G192" s="307"/>
      <c r="H192" s="150"/>
      <c r="I192" s="152"/>
      <c r="J192" s="149"/>
      <c r="L192" s="307" t="str">
        <f>"("&amp;BAHTTEXT(M191)&amp;")"</f>
        <v>(ศูนย์บาทถ้วน)</v>
      </c>
      <c r="M192" s="307"/>
      <c r="N192" s="307"/>
      <c r="O192" s="307"/>
      <c r="P192" s="307"/>
      <c r="R192" s="152"/>
    </row>
    <row r="193" spans="1:18" ht="17.100000000000001" customHeight="1" x14ac:dyDescent="0.2">
      <c r="A193" s="149"/>
      <c r="B193" s="150"/>
      <c r="C193" s="147"/>
      <c r="D193" s="147"/>
      <c r="E193" s="147"/>
      <c r="F193" s="147"/>
      <c r="G193" s="147"/>
      <c r="H193" s="150"/>
      <c r="I193" s="152"/>
      <c r="J193" s="149"/>
      <c r="L193" s="147"/>
      <c r="M193" s="147"/>
      <c r="N193" s="147"/>
      <c r="O193" s="147"/>
      <c r="P193" s="147"/>
      <c r="R193" s="152"/>
    </row>
    <row r="194" spans="1:18" ht="17.100000000000001" customHeight="1" x14ac:dyDescent="0.2">
      <c r="A194" s="149"/>
      <c r="B194" s="150"/>
      <c r="C194" s="147"/>
      <c r="D194" s="147"/>
      <c r="E194" s="147"/>
      <c r="F194" s="147"/>
      <c r="G194" s="147"/>
      <c r="H194" s="150"/>
      <c r="I194" s="152"/>
      <c r="J194" s="149"/>
      <c r="L194" s="147"/>
      <c r="M194" s="147"/>
      <c r="N194" s="147"/>
      <c r="O194" s="147"/>
      <c r="P194" s="147"/>
      <c r="R194" s="152"/>
    </row>
    <row r="195" spans="1:18" ht="17.100000000000001" customHeight="1" x14ac:dyDescent="0.2">
      <c r="A195" s="149"/>
      <c r="B195" s="150"/>
      <c r="C195" s="147"/>
      <c r="D195" s="147"/>
      <c r="E195" s="147"/>
      <c r="F195" s="147"/>
      <c r="G195" s="147"/>
      <c r="H195" s="150"/>
      <c r="I195" s="152"/>
      <c r="J195" s="149"/>
      <c r="R195" s="152"/>
    </row>
    <row r="196" spans="1:18" ht="17.100000000000001" customHeight="1" x14ac:dyDescent="0.2">
      <c r="A196" s="149"/>
      <c r="B196" s="150"/>
      <c r="C196" s="150"/>
      <c r="D196" s="150"/>
      <c r="E196" s="150"/>
      <c r="F196" s="150"/>
      <c r="G196" s="150"/>
      <c r="H196" s="150"/>
      <c r="I196" s="152"/>
      <c r="J196" s="149"/>
      <c r="R196" s="152"/>
    </row>
    <row r="197" spans="1:18" ht="17.100000000000001" customHeight="1" x14ac:dyDescent="0.2">
      <c r="A197" s="308" t="s">
        <v>315</v>
      </c>
      <c r="B197" s="307"/>
      <c r="C197" s="307"/>
      <c r="D197" s="307"/>
      <c r="E197" s="307"/>
      <c r="F197" s="307"/>
      <c r="G197" s="307"/>
      <c r="H197" s="307"/>
      <c r="I197" s="309"/>
      <c r="J197" s="308" t="s">
        <v>315</v>
      </c>
      <c r="K197" s="307"/>
      <c r="L197" s="307"/>
      <c r="M197" s="307"/>
      <c r="N197" s="307"/>
      <c r="O197" s="307"/>
      <c r="P197" s="307"/>
      <c r="Q197" s="307"/>
      <c r="R197" s="309"/>
    </row>
    <row r="198" spans="1:18" ht="17.100000000000001" customHeight="1" x14ac:dyDescent="0.2">
      <c r="A198" s="310" t="s">
        <v>298</v>
      </c>
      <c r="B198" s="311"/>
      <c r="C198" s="311"/>
      <c r="D198" s="311"/>
      <c r="E198" s="311"/>
      <c r="F198" s="311"/>
      <c r="G198" s="311"/>
      <c r="H198" s="311"/>
      <c r="I198" s="312"/>
      <c r="J198" s="310" t="s">
        <v>298</v>
      </c>
      <c r="K198" s="311"/>
      <c r="L198" s="311"/>
      <c r="M198" s="311"/>
      <c r="N198" s="311"/>
      <c r="O198" s="311"/>
      <c r="P198" s="311"/>
      <c r="Q198" s="311"/>
      <c r="R198" s="312"/>
    </row>
    <row r="199" spans="1:18" ht="17.100000000000001" customHeight="1" x14ac:dyDescent="0.2">
      <c r="A199" s="313" t="str">
        <f>A111</f>
        <v>โรงพยาบาลสามโคก  ประจำเดือน  พฤศจิกายน  2568</v>
      </c>
      <c r="B199" s="314"/>
      <c r="C199" s="314"/>
      <c r="D199" s="314"/>
      <c r="E199" s="314"/>
      <c r="F199" s="314"/>
      <c r="G199" s="314"/>
      <c r="H199" s="314"/>
      <c r="I199" s="315"/>
      <c r="J199" s="313" t="str">
        <f>พกส.1!J177</f>
        <v>โรงพยาบาลสามโคก  ประจำเดือน  พฤศจิกายน  2568</v>
      </c>
      <c r="K199" s="314"/>
      <c r="L199" s="314"/>
      <c r="M199" s="314"/>
      <c r="N199" s="314"/>
      <c r="O199" s="314"/>
      <c r="P199" s="314"/>
      <c r="Q199" s="314"/>
      <c r="R199" s="315"/>
    </row>
    <row r="200" spans="1:18" ht="17.100000000000001" customHeight="1" x14ac:dyDescent="0.2">
      <c r="A200" s="308" t="s">
        <v>281</v>
      </c>
      <c r="B200" s="307"/>
      <c r="C200" s="307"/>
      <c r="D200" s="307"/>
      <c r="E200" s="307"/>
      <c r="F200" s="307"/>
      <c r="G200" s="307"/>
      <c r="H200" s="307"/>
      <c r="I200" s="309"/>
      <c r="J200" s="308" t="s">
        <v>446</v>
      </c>
      <c r="K200" s="307"/>
      <c r="L200" s="307"/>
      <c r="M200" s="307"/>
      <c r="N200" s="307"/>
      <c r="O200" s="307"/>
      <c r="P200" s="307"/>
      <c r="Q200" s="307"/>
      <c r="R200" s="309"/>
    </row>
    <row r="201" spans="1:18" ht="17.100000000000001" customHeight="1" x14ac:dyDescent="0.2">
      <c r="A201" s="149"/>
      <c r="B201" s="150"/>
      <c r="C201" s="150"/>
      <c r="D201" s="147"/>
      <c r="E201" s="147"/>
      <c r="F201" s="147"/>
      <c r="G201" s="150"/>
      <c r="I201" s="152"/>
      <c r="J201" s="149"/>
      <c r="K201" s="153"/>
      <c r="L201" s="150"/>
      <c r="M201" s="147"/>
      <c r="N201" s="147"/>
      <c r="O201" s="147"/>
      <c r="P201" s="150"/>
      <c r="Q201" s="150"/>
      <c r="R201" s="152"/>
    </row>
    <row r="202" spans="1:18" ht="17.100000000000001" customHeight="1" x14ac:dyDescent="0.2">
      <c r="A202" s="149"/>
      <c r="B202" s="307" t="s">
        <v>9</v>
      </c>
      <c r="C202" s="307"/>
      <c r="D202" s="307"/>
      <c r="E202" s="147"/>
      <c r="F202" s="147"/>
      <c r="G202" s="307" t="s">
        <v>10</v>
      </c>
      <c r="H202" s="307"/>
      <c r="I202" s="152"/>
      <c r="J202" s="149"/>
      <c r="K202" s="307" t="s">
        <v>9</v>
      </c>
      <c r="L202" s="307"/>
      <c r="M202" s="307"/>
      <c r="N202" s="147"/>
      <c r="O202" s="147"/>
      <c r="P202" s="147" t="s">
        <v>10</v>
      </c>
      <c r="Q202" s="147"/>
      <c r="R202" s="152"/>
    </row>
    <row r="203" spans="1:18" ht="17.100000000000001" customHeight="1" x14ac:dyDescent="0.2">
      <c r="A203" s="170"/>
      <c r="B203" s="306" t="s">
        <v>3</v>
      </c>
      <c r="C203" s="306"/>
      <c r="D203" s="154">
        <f>พกส.!E17</f>
        <v>0</v>
      </c>
      <c r="E203" s="154"/>
      <c r="F203" s="155"/>
      <c r="G203" s="189" t="s">
        <v>116</v>
      </c>
      <c r="H203" s="154">
        <f>พกส.!N17</f>
        <v>0</v>
      </c>
      <c r="I203" s="169"/>
      <c r="J203" s="149"/>
      <c r="K203" s="150" t="s">
        <v>3</v>
      </c>
      <c r="L203" s="150"/>
      <c r="M203" s="154">
        <f>พกส.!E33</f>
        <v>0</v>
      </c>
      <c r="N203" s="154"/>
      <c r="O203" s="155"/>
      <c r="P203" s="189" t="s">
        <v>116</v>
      </c>
      <c r="Q203" s="154">
        <f>พกส.!N33</f>
        <v>0</v>
      </c>
      <c r="R203" s="152"/>
    </row>
    <row r="204" spans="1:18" ht="17.100000000000001" customHeight="1" x14ac:dyDescent="0.2">
      <c r="A204" s="170"/>
      <c r="B204" s="306" t="s">
        <v>106</v>
      </c>
      <c r="C204" s="306"/>
      <c r="D204" s="154">
        <v>0</v>
      </c>
      <c r="E204" s="154"/>
      <c r="F204" s="155"/>
      <c r="G204" s="189" t="s">
        <v>54</v>
      </c>
      <c r="H204" s="154">
        <v>0</v>
      </c>
      <c r="I204" s="169"/>
      <c r="J204" s="149"/>
      <c r="K204" s="150" t="s">
        <v>106</v>
      </c>
      <c r="L204" s="150"/>
      <c r="M204" s="154">
        <v>0</v>
      </c>
      <c r="N204" s="154"/>
      <c r="O204" s="155"/>
      <c r="P204" s="189" t="s">
        <v>54</v>
      </c>
      <c r="Q204" s="154">
        <v>0</v>
      </c>
      <c r="R204" s="152"/>
    </row>
    <row r="205" spans="1:18" ht="17.100000000000001" customHeight="1" x14ac:dyDescent="0.2">
      <c r="A205" s="170"/>
      <c r="B205" s="306" t="s">
        <v>107</v>
      </c>
      <c r="C205" s="306"/>
      <c r="D205" s="154">
        <v>0</v>
      </c>
      <c r="E205" s="154"/>
      <c r="F205" s="155"/>
      <c r="G205" s="189" t="s">
        <v>100</v>
      </c>
      <c r="H205" s="154">
        <f>พกส.!O17</f>
        <v>0</v>
      </c>
      <c r="I205" s="169"/>
      <c r="J205" s="149"/>
      <c r="K205" s="306" t="s">
        <v>140</v>
      </c>
      <c r="L205" s="306"/>
      <c r="M205" s="154">
        <v>0</v>
      </c>
      <c r="N205" s="154"/>
      <c r="O205" s="155"/>
      <c r="P205" s="189" t="s">
        <v>100</v>
      </c>
      <c r="Q205" s="154">
        <f>พกส.!O33</f>
        <v>0</v>
      </c>
      <c r="R205" s="152"/>
    </row>
    <row r="206" spans="1:18" ht="17.100000000000001" customHeight="1" x14ac:dyDescent="0.2">
      <c r="A206" s="170"/>
      <c r="B206" s="306" t="s">
        <v>105</v>
      </c>
      <c r="C206" s="306"/>
      <c r="D206" s="154">
        <v>0</v>
      </c>
      <c r="E206" s="154"/>
      <c r="F206" s="155"/>
      <c r="G206" s="189" t="s">
        <v>55</v>
      </c>
      <c r="H206" s="154">
        <f>พกส.!P17</f>
        <v>0</v>
      </c>
      <c r="I206" s="169"/>
      <c r="J206" s="149"/>
      <c r="K206" s="306" t="s">
        <v>130</v>
      </c>
      <c r="L206" s="306"/>
      <c r="M206" s="154">
        <f>พกส.!H33</f>
        <v>0</v>
      </c>
      <c r="N206" s="154"/>
      <c r="O206" s="155"/>
      <c r="P206" s="189" t="s">
        <v>55</v>
      </c>
      <c r="Q206" s="154">
        <v>0</v>
      </c>
      <c r="R206" s="152"/>
    </row>
    <row r="207" spans="1:18" ht="17.100000000000001" customHeight="1" x14ac:dyDescent="0.2">
      <c r="A207" s="170"/>
      <c r="B207" s="306" t="s">
        <v>661</v>
      </c>
      <c r="C207" s="306"/>
      <c r="D207" s="154">
        <f>พกส.!I17</f>
        <v>0</v>
      </c>
      <c r="E207" s="154"/>
      <c r="F207" s="155"/>
      <c r="G207" s="153" t="s">
        <v>209</v>
      </c>
      <c r="H207" s="156">
        <f>พกส.!R17</f>
        <v>0</v>
      </c>
      <c r="I207" s="169"/>
      <c r="J207" s="149"/>
      <c r="K207" s="306" t="s">
        <v>291</v>
      </c>
      <c r="L207" s="306"/>
      <c r="M207" s="154">
        <f>พกส.!I33</f>
        <v>0</v>
      </c>
      <c r="N207" s="154"/>
      <c r="O207" s="155"/>
      <c r="P207" s="153" t="s">
        <v>209</v>
      </c>
      <c r="Q207" s="156">
        <f>พกส.!Q33</f>
        <v>0</v>
      </c>
      <c r="R207" s="152"/>
    </row>
    <row r="208" spans="1:18" ht="17.100000000000001" customHeight="1" x14ac:dyDescent="0.2">
      <c r="A208" s="170"/>
      <c r="B208" s="306" t="s">
        <v>119</v>
      </c>
      <c r="C208" s="306"/>
      <c r="D208" s="154">
        <f>พกส.!J17</f>
        <v>0</v>
      </c>
      <c r="E208" s="154"/>
      <c r="F208" s="155"/>
      <c r="G208" s="153" t="s">
        <v>137</v>
      </c>
      <c r="H208" s="156">
        <v>0</v>
      </c>
      <c r="I208" s="169"/>
      <c r="J208" s="149"/>
      <c r="K208" s="306" t="s">
        <v>119</v>
      </c>
      <c r="L208" s="306"/>
      <c r="M208" s="154">
        <f>พกส.!J33</f>
        <v>0</v>
      </c>
      <c r="N208" s="154"/>
      <c r="O208" s="155"/>
      <c r="P208" s="153" t="s">
        <v>137</v>
      </c>
      <c r="Q208" s="156">
        <v>0</v>
      </c>
      <c r="R208" s="152"/>
    </row>
    <row r="209" spans="1:18" ht="17.100000000000001" customHeight="1" x14ac:dyDescent="0.2">
      <c r="A209" s="170"/>
      <c r="B209" s="306" t="s">
        <v>663</v>
      </c>
      <c r="C209" s="306"/>
      <c r="D209" s="154">
        <f>พกส.!L17</f>
        <v>0</v>
      </c>
      <c r="E209" s="154"/>
      <c r="F209" s="155"/>
      <c r="G209" s="153" t="s">
        <v>377</v>
      </c>
      <c r="H209" s="156">
        <v>0</v>
      </c>
      <c r="I209" s="169"/>
      <c r="J209" s="149"/>
      <c r="K209" s="306" t="s">
        <v>663</v>
      </c>
      <c r="L209" s="306"/>
      <c r="M209" s="154">
        <f>พกส.!L33</f>
        <v>0</v>
      </c>
      <c r="N209" s="154"/>
      <c r="O209" s="155"/>
      <c r="P209" s="153" t="s">
        <v>377</v>
      </c>
      <c r="Q209" s="156">
        <v>0</v>
      </c>
      <c r="R209" s="152"/>
    </row>
    <row r="210" spans="1:18" ht="17.100000000000001" customHeight="1" x14ac:dyDescent="0.2">
      <c r="A210" s="170"/>
      <c r="B210" s="306" t="s">
        <v>6</v>
      </c>
      <c r="C210" s="306"/>
      <c r="D210" s="154">
        <v>0</v>
      </c>
      <c r="E210" s="154"/>
      <c r="F210" s="155"/>
      <c r="G210" s="189" t="s">
        <v>56</v>
      </c>
      <c r="H210" s="156">
        <v>0</v>
      </c>
      <c r="I210" s="169"/>
      <c r="J210" s="149"/>
      <c r="K210" s="306" t="s">
        <v>6</v>
      </c>
      <c r="L210" s="306"/>
      <c r="M210" s="154">
        <v>0</v>
      </c>
      <c r="N210" s="154"/>
      <c r="O210" s="155"/>
      <c r="P210" s="189" t="s">
        <v>56</v>
      </c>
      <c r="Q210" s="156">
        <v>0</v>
      </c>
      <c r="R210" s="152"/>
    </row>
    <row r="211" spans="1:18" ht="17.100000000000001" customHeight="1" x14ac:dyDescent="0.2">
      <c r="A211" s="170"/>
      <c r="B211" s="306" t="s">
        <v>7</v>
      </c>
      <c r="C211" s="306"/>
      <c r="D211" s="154">
        <v>0</v>
      </c>
      <c r="E211" s="154"/>
      <c r="F211" s="155"/>
      <c r="G211" s="189" t="s">
        <v>57</v>
      </c>
      <c r="H211" s="154"/>
      <c r="I211" s="169"/>
      <c r="J211" s="149"/>
      <c r="K211" s="150" t="s">
        <v>7</v>
      </c>
      <c r="L211" s="150"/>
      <c r="M211" s="154">
        <v>0</v>
      </c>
      <c r="N211" s="154"/>
      <c r="O211" s="155"/>
      <c r="P211" s="189" t="s">
        <v>57</v>
      </c>
      <c r="Q211" s="154"/>
      <c r="R211" s="152"/>
    </row>
    <row r="212" spans="1:18" ht="17.100000000000001" customHeight="1" x14ac:dyDescent="0.2">
      <c r="A212" s="170"/>
      <c r="B212" s="307" t="s">
        <v>117</v>
      </c>
      <c r="C212" s="307"/>
      <c r="D212" s="157">
        <f>SUM(D203:D211)</f>
        <v>0</v>
      </c>
      <c r="E212" s="157"/>
      <c r="F212" s="157"/>
      <c r="G212" s="147" t="s">
        <v>118</v>
      </c>
      <c r="H212" s="157">
        <f>SUM(H203:H211)</f>
        <v>0</v>
      </c>
      <c r="I212" s="169"/>
      <c r="J212" s="149"/>
      <c r="K212" s="307" t="s">
        <v>101</v>
      </c>
      <c r="L212" s="307"/>
      <c r="M212" s="154">
        <f>SUM(M203:M211)</f>
        <v>0</v>
      </c>
      <c r="N212" s="154"/>
      <c r="O212" s="157"/>
      <c r="P212" s="147" t="s">
        <v>102</v>
      </c>
      <c r="Q212" s="157">
        <f>SUM(Q203:Q211)</f>
        <v>0</v>
      </c>
      <c r="R212" s="152"/>
    </row>
    <row r="213" spans="1:18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  <c r="J213" s="149"/>
      <c r="K213" s="150"/>
      <c r="L213" s="147" t="s">
        <v>103</v>
      </c>
      <c r="M213" s="157">
        <f>M212-Q212</f>
        <v>0</v>
      </c>
      <c r="N213" s="157"/>
      <c r="O213" s="158" t="s">
        <v>104</v>
      </c>
      <c r="Q213" s="150"/>
      <c r="R213" s="152"/>
    </row>
    <row r="214" spans="1:18" ht="17.100000000000001" customHeight="1" x14ac:dyDescent="0.2">
      <c r="A214" s="149"/>
      <c r="B214" s="150"/>
      <c r="C214" s="307" t="str">
        <f>"("&amp;BAHTTEXT(D213)&amp;")"</f>
        <v>(ศูนย์บาทถ้วน)</v>
      </c>
      <c r="D214" s="307"/>
      <c r="E214" s="307"/>
      <c r="F214" s="307"/>
      <c r="G214" s="307"/>
      <c r="H214" s="150"/>
      <c r="I214" s="152"/>
      <c r="J214" s="149"/>
      <c r="L214" s="307" t="str">
        <f>"("&amp;BAHTTEXT(M213)&amp;")"</f>
        <v>(ศูนย์บาทถ้วน)</v>
      </c>
      <c r="M214" s="307"/>
      <c r="N214" s="307"/>
      <c r="O214" s="307"/>
      <c r="P214" s="307"/>
      <c r="R214" s="152"/>
    </row>
    <row r="215" spans="1:18" ht="17.100000000000001" customHeight="1" x14ac:dyDescent="0.2">
      <c r="A215" s="149"/>
      <c r="B215" s="150"/>
      <c r="C215" s="147"/>
      <c r="D215" s="147"/>
      <c r="E215" s="147"/>
      <c r="F215" s="147"/>
      <c r="G215" s="147"/>
      <c r="H215" s="150"/>
      <c r="I215" s="152"/>
      <c r="J215" s="149"/>
      <c r="L215" s="147"/>
      <c r="M215" s="147"/>
      <c r="N215" s="147"/>
      <c r="O215" s="147"/>
      <c r="P215" s="147"/>
      <c r="R215" s="152"/>
    </row>
    <row r="216" spans="1:18" ht="17.100000000000001" customHeight="1" x14ac:dyDescent="0.2">
      <c r="A216" s="149"/>
      <c r="B216" s="150"/>
      <c r="C216" s="147"/>
      <c r="D216" s="147"/>
      <c r="E216" s="147"/>
      <c r="F216" s="147"/>
      <c r="G216" s="147"/>
      <c r="H216" s="150"/>
      <c r="I216" s="152"/>
      <c r="J216" s="149"/>
      <c r="L216" s="147"/>
      <c r="M216" s="147"/>
      <c r="N216" s="147"/>
      <c r="O216" s="147"/>
      <c r="P216" s="147"/>
      <c r="R216" s="152"/>
    </row>
    <row r="217" spans="1:18" ht="17.100000000000001" customHeight="1" x14ac:dyDescent="0.2">
      <c r="A217" s="149"/>
      <c r="B217" s="150"/>
      <c r="C217" s="150"/>
      <c r="D217" s="150"/>
      <c r="E217" s="150"/>
      <c r="F217" s="150"/>
      <c r="G217" s="150"/>
      <c r="H217" s="150"/>
      <c r="I217" s="152"/>
      <c r="J217" s="149"/>
      <c r="R217" s="152"/>
    </row>
    <row r="218" spans="1:18" ht="17.100000000000001" customHeight="1" x14ac:dyDescent="0.2">
      <c r="A218" s="149"/>
      <c r="B218" s="150"/>
      <c r="C218" s="150"/>
      <c r="D218" s="150"/>
      <c r="E218" s="150"/>
      <c r="F218" s="150"/>
      <c r="G218" s="150"/>
      <c r="H218" s="150"/>
      <c r="I218" s="152"/>
      <c r="J218" s="149"/>
      <c r="R218" s="152"/>
    </row>
    <row r="219" spans="1:18" ht="17.100000000000001" customHeight="1" x14ac:dyDescent="0.2">
      <c r="A219" s="308" t="s">
        <v>315</v>
      </c>
      <c r="B219" s="307"/>
      <c r="C219" s="307"/>
      <c r="D219" s="307"/>
      <c r="E219" s="307"/>
      <c r="F219" s="307"/>
      <c r="G219" s="307"/>
      <c r="H219" s="307"/>
      <c r="I219" s="309"/>
      <c r="J219" s="308" t="s">
        <v>315</v>
      </c>
      <c r="K219" s="307"/>
      <c r="L219" s="307"/>
      <c r="M219" s="307"/>
      <c r="N219" s="307"/>
      <c r="O219" s="307"/>
      <c r="P219" s="307"/>
      <c r="Q219" s="307"/>
      <c r="R219" s="309"/>
    </row>
    <row r="220" spans="1:18" ht="17.100000000000001" customHeight="1" x14ac:dyDescent="0.2">
      <c r="A220" s="310" t="s">
        <v>298</v>
      </c>
      <c r="B220" s="311"/>
      <c r="C220" s="311"/>
      <c r="D220" s="311"/>
      <c r="E220" s="311"/>
      <c r="F220" s="311"/>
      <c r="G220" s="311"/>
      <c r="H220" s="311"/>
      <c r="I220" s="312"/>
      <c r="J220" s="310" t="s">
        <v>298</v>
      </c>
      <c r="K220" s="311"/>
      <c r="L220" s="311"/>
      <c r="M220" s="311"/>
      <c r="N220" s="311"/>
      <c r="O220" s="311"/>
      <c r="P220" s="311"/>
      <c r="Q220" s="311"/>
      <c r="R220" s="312"/>
    </row>
    <row r="221" spans="1:18" ht="17.100000000000001" customHeight="1" x14ac:dyDescent="0.2">
      <c r="A221" s="313" t="str">
        <f>A111</f>
        <v>โรงพยาบาลสามโคก  ประจำเดือน  พฤศจิกายน  2568</v>
      </c>
      <c r="B221" s="314"/>
      <c r="C221" s="314"/>
      <c r="D221" s="314"/>
      <c r="E221" s="314"/>
      <c r="F221" s="314"/>
      <c r="G221" s="314"/>
      <c r="H221" s="314"/>
      <c r="I221" s="315"/>
      <c r="J221" s="313" t="str">
        <f>พกส.1!J199</f>
        <v>โรงพยาบาลสามโคก  ประจำเดือน  พฤศจิกายน  2568</v>
      </c>
      <c r="K221" s="314"/>
      <c r="L221" s="314"/>
      <c r="M221" s="314"/>
      <c r="N221" s="314"/>
      <c r="O221" s="314"/>
      <c r="P221" s="314"/>
      <c r="Q221" s="314"/>
      <c r="R221" s="315"/>
    </row>
    <row r="222" spans="1:18" ht="17.100000000000001" customHeight="1" x14ac:dyDescent="0.2">
      <c r="A222" s="308" t="s">
        <v>228</v>
      </c>
      <c r="B222" s="307"/>
      <c r="C222" s="307"/>
      <c r="D222" s="307"/>
      <c r="E222" s="307"/>
      <c r="F222" s="307"/>
      <c r="G222" s="307"/>
      <c r="H222" s="307"/>
      <c r="I222" s="309"/>
      <c r="J222" s="308" t="s">
        <v>442</v>
      </c>
      <c r="K222" s="307"/>
      <c r="L222" s="307"/>
      <c r="M222" s="307"/>
      <c r="N222" s="307"/>
      <c r="O222" s="307"/>
      <c r="P222" s="307"/>
      <c r="Q222" s="307"/>
      <c r="R222" s="309"/>
    </row>
    <row r="223" spans="1:18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  <c r="J223" s="149"/>
      <c r="K223" s="153"/>
      <c r="L223" s="150"/>
      <c r="M223" s="147"/>
      <c r="N223" s="147"/>
      <c r="O223" s="147"/>
      <c r="P223" s="150"/>
      <c r="Q223" s="150"/>
      <c r="R223" s="152"/>
    </row>
    <row r="224" spans="1:18" ht="17.100000000000001" customHeight="1" x14ac:dyDescent="0.2">
      <c r="A224" s="149"/>
      <c r="B224" s="307" t="s">
        <v>9</v>
      </c>
      <c r="C224" s="307"/>
      <c r="D224" s="307"/>
      <c r="E224" s="147"/>
      <c r="F224" s="147"/>
      <c r="G224" s="307" t="s">
        <v>10</v>
      </c>
      <c r="H224" s="307"/>
      <c r="I224" s="152"/>
      <c r="J224" s="149"/>
      <c r="K224" s="307" t="s">
        <v>9</v>
      </c>
      <c r="L224" s="307"/>
      <c r="M224" s="307"/>
      <c r="N224" s="147"/>
      <c r="O224" s="147"/>
      <c r="P224" s="147" t="s">
        <v>10</v>
      </c>
      <c r="Q224" s="147"/>
      <c r="R224" s="152"/>
    </row>
    <row r="225" spans="1:18" ht="17.100000000000001" customHeight="1" x14ac:dyDescent="0.2">
      <c r="A225" s="149"/>
      <c r="B225" s="306" t="s">
        <v>3</v>
      </c>
      <c r="C225" s="306"/>
      <c r="D225" s="154">
        <f>พกส.!E18</f>
        <v>0</v>
      </c>
      <c r="E225" s="154"/>
      <c r="F225" s="155"/>
      <c r="G225" s="189" t="s">
        <v>116</v>
      </c>
      <c r="H225" s="154">
        <f>พกส.!N18</f>
        <v>0</v>
      </c>
      <c r="I225" s="169"/>
      <c r="J225" s="149"/>
      <c r="K225" s="150" t="s">
        <v>3</v>
      </c>
      <c r="L225" s="150"/>
      <c r="M225" s="154">
        <f>พกส.!E34</f>
        <v>0</v>
      </c>
      <c r="N225" s="154"/>
      <c r="O225" s="155"/>
      <c r="P225" s="189" t="s">
        <v>116</v>
      </c>
      <c r="Q225" s="154">
        <f>พกส.!N34</f>
        <v>0</v>
      </c>
      <c r="R225" s="152"/>
    </row>
    <row r="226" spans="1:18" ht="17.100000000000001" customHeight="1" x14ac:dyDescent="0.2">
      <c r="A226" s="149"/>
      <c r="B226" s="306" t="s">
        <v>106</v>
      </c>
      <c r="C226" s="306"/>
      <c r="D226" s="154">
        <v>0</v>
      </c>
      <c r="E226" s="154"/>
      <c r="F226" s="155"/>
      <c r="G226" s="189" t="s">
        <v>54</v>
      </c>
      <c r="H226" s="154">
        <v>0</v>
      </c>
      <c r="I226" s="169"/>
      <c r="J226" s="149"/>
      <c r="K226" s="150" t="s">
        <v>106</v>
      </c>
      <c r="L226" s="150"/>
      <c r="M226" s="154">
        <v>0</v>
      </c>
      <c r="N226" s="154"/>
      <c r="O226" s="155"/>
      <c r="P226" s="189" t="s">
        <v>54</v>
      </c>
      <c r="Q226" s="154">
        <v>0</v>
      </c>
      <c r="R226" s="152"/>
    </row>
    <row r="227" spans="1:18" ht="17.100000000000001" customHeight="1" x14ac:dyDescent="0.2">
      <c r="A227" s="149"/>
      <c r="B227" s="306" t="s">
        <v>107</v>
      </c>
      <c r="C227" s="306"/>
      <c r="D227" s="154">
        <v>0</v>
      </c>
      <c r="E227" s="154"/>
      <c r="F227" s="155"/>
      <c r="G227" s="189" t="s">
        <v>100</v>
      </c>
      <c r="H227" s="154">
        <f>พกส.!O18</f>
        <v>0</v>
      </c>
      <c r="I227" s="169"/>
      <c r="J227" s="149"/>
      <c r="K227" s="306" t="s">
        <v>140</v>
      </c>
      <c r="L227" s="306"/>
      <c r="M227" s="154">
        <v>0</v>
      </c>
      <c r="N227" s="154"/>
      <c r="O227" s="155"/>
      <c r="P227" s="189" t="s">
        <v>100</v>
      </c>
      <c r="Q227" s="154">
        <f>พกส.!O55</f>
        <v>0</v>
      </c>
      <c r="R227" s="152"/>
    </row>
    <row r="228" spans="1:18" ht="17.100000000000001" customHeight="1" x14ac:dyDescent="0.2">
      <c r="A228" s="149"/>
      <c r="B228" s="306" t="s">
        <v>130</v>
      </c>
      <c r="C228" s="306"/>
      <c r="D228" s="154">
        <v>0</v>
      </c>
      <c r="E228" s="154"/>
      <c r="F228" s="155"/>
      <c r="G228" s="189" t="s">
        <v>55</v>
      </c>
      <c r="H228" s="154">
        <f>พกส.!P18</f>
        <v>0</v>
      </c>
      <c r="I228" s="169"/>
      <c r="J228" s="149"/>
      <c r="K228" s="306" t="s">
        <v>130</v>
      </c>
      <c r="L228" s="306"/>
      <c r="M228" s="154">
        <f>พกส.!H34</f>
        <v>0</v>
      </c>
      <c r="N228" s="154"/>
      <c r="O228" s="155"/>
      <c r="P228" s="189" t="s">
        <v>55</v>
      </c>
      <c r="Q228" s="154">
        <v>0</v>
      </c>
      <c r="R228" s="152"/>
    </row>
    <row r="229" spans="1:18" ht="17.100000000000001" customHeight="1" x14ac:dyDescent="0.2">
      <c r="A229" s="149"/>
      <c r="B229" s="306" t="s">
        <v>661</v>
      </c>
      <c r="C229" s="306"/>
      <c r="D229" s="154">
        <f>พกส.!I18</f>
        <v>0</v>
      </c>
      <c r="E229" s="154"/>
      <c r="F229" s="155"/>
      <c r="G229" s="153" t="s">
        <v>209</v>
      </c>
      <c r="H229" s="156">
        <f>พกส.!Q18</f>
        <v>0</v>
      </c>
      <c r="I229" s="169"/>
      <c r="J229" s="149"/>
      <c r="K229" s="306" t="s">
        <v>661</v>
      </c>
      <c r="L229" s="306"/>
      <c r="M229" s="154">
        <f>พกส.!I34</f>
        <v>0</v>
      </c>
      <c r="N229" s="154"/>
      <c r="O229" s="155"/>
      <c r="P229" s="153" t="s">
        <v>209</v>
      </c>
      <c r="Q229" s="156">
        <f>พกส.!Q55</f>
        <v>0</v>
      </c>
      <c r="R229" s="152"/>
    </row>
    <row r="230" spans="1:18" ht="17.100000000000001" customHeight="1" x14ac:dyDescent="0.2">
      <c r="A230" s="149"/>
      <c r="B230" s="306" t="s">
        <v>662</v>
      </c>
      <c r="C230" s="306"/>
      <c r="D230" s="154">
        <f>พกส.!J18</f>
        <v>0</v>
      </c>
      <c r="E230" s="154"/>
      <c r="F230" s="155"/>
      <c r="G230" s="153" t="s">
        <v>137</v>
      </c>
      <c r="H230" s="156">
        <f>พกส.!R18</f>
        <v>0</v>
      </c>
      <c r="I230" s="169"/>
      <c r="J230" s="149"/>
      <c r="K230" s="306" t="s">
        <v>662</v>
      </c>
      <c r="L230" s="306"/>
      <c r="M230" s="154">
        <f>พกส.!J34</f>
        <v>0</v>
      </c>
      <c r="N230" s="154"/>
      <c r="O230" s="155"/>
      <c r="P230" s="153" t="s">
        <v>137</v>
      </c>
      <c r="Q230" s="156">
        <v>0</v>
      </c>
      <c r="R230" s="152"/>
    </row>
    <row r="231" spans="1:18" ht="17.100000000000001" customHeight="1" x14ac:dyDescent="0.2">
      <c r="A231" s="149"/>
      <c r="B231" s="306" t="s">
        <v>663</v>
      </c>
      <c r="C231" s="306"/>
      <c r="D231" s="154">
        <f>พกส.!L18</f>
        <v>0</v>
      </c>
      <c r="E231" s="154"/>
      <c r="F231" s="155"/>
      <c r="G231" s="153" t="s">
        <v>377</v>
      </c>
      <c r="H231" s="156">
        <f>พกส.!U18</f>
        <v>0</v>
      </c>
      <c r="I231" s="169"/>
      <c r="J231" s="149"/>
      <c r="K231" s="306" t="s">
        <v>663</v>
      </c>
      <c r="L231" s="306"/>
      <c r="M231" s="154">
        <f>พกส.!L34</f>
        <v>0</v>
      </c>
      <c r="N231" s="154"/>
      <c r="O231" s="155"/>
      <c r="P231" s="153" t="s">
        <v>377</v>
      </c>
      <c r="Q231" s="156">
        <v>0</v>
      </c>
      <c r="R231" s="152"/>
    </row>
    <row r="232" spans="1:18" ht="17.100000000000001" customHeight="1" x14ac:dyDescent="0.2">
      <c r="A232" s="149"/>
      <c r="B232" s="306" t="s">
        <v>6</v>
      </c>
      <c r="C232" s="306"/>
      <c r="D232" s="154">
        <v>0</v>
      </c>
      <c r="E232" s="154"/>
      <c r="F232" s="155"/>
      <c r="G232" s="189" t="s">
        <v>56</v>
      </c>
      <c r="H232" s="156">
        <f>พกส.!V18</f>
        <v>0</v>
      </c>
      <c r="I232" s="169"/>
      <c r="J232" s="149"/>
      <c r="K232" s="306" t="s">
        <v>6</v>
      </c>
      <c r="L232" s="306"/>
      <c r="M232" s="154">
        <f>พกส.!L55</f>
        <v>0</v>
      </c>
      <c r="N232" s="154"/>
      <c r="O232" s="155"/>
      <c r="P232" s="189" t="s">
        <v>56</v>
      </c>
      <c r="Q232" s="156">
        <v>0</v>
      </c>
      <c r="R232" s="152"/>
    </row>
    <row r="233" spans="1:18" ht="17.100000000000001" customHeight="1" x14ac:dyDescent="0.2">
      <c r="A233" s="149"/>
      <c r="B233" s="306" t="s">
        <v>7</v>
      </c>
      <c r="C233" s="306"/>
      <c r="D233" s="154">
        <f>พกส.!E45</f>
        <v>0</v>
      </c>
      <c r="E233" s="154"/>
      <c r="F233" s="155"/>
      <c r="G233" s="189" t="s">
        <v>57</v>
      </c>
      <c r="H233" s="154"/>
      <c r="I233" s="169"/>
      <c r="J233" s="149"/>
      <c r="K233" s="150" t="s">
        <v>7</v>
      </c>
      <c r="L233" s="150"/>
      <c r="M233" s="154">
        <v>0</v>
      </c>
      <c r="N233" s="154"/>
      <c r="O233" s="155"/>
      <c r="P233" s="189" t="s">
        <v>57</v>
      </c>
      <c r="Q233" s="154"/>
      <c r="R233" s="152"/>
    </row>
    <row r="234" spans="1:18" ht="17.100000000000001" customHeight="1" x14ac:dyDescent="0.2">
      <c r="A234" s="149"/>
      <c r="B234" s="307" t="s">
        <v>117</v>
      </c>
      <c r="C234" s="307"/>
      <c r="D234" s="157">
        <f>SUM(D225:D233)</f>
        <v>0</v>
      </c>
      <c r="E234" s="157"/>
      <c r="F234" s="157"/>
      <c r="G234" s="147" t="s">
        <v>118</v>
      </c>
      <c r="H234" s="157">
        <f>SUM(H225:H233)</f>
        <v>0</v>
      </c>
      <c r="I234" s="169"/>
      <c r="J234" s="149"/>
      <c r="K234" s="307" t="s">
        <v>101</v>
      </c>
      <c r="L234" s="307"/>
      <c r="M234" s="154">
        <f>SUM(M225:M233)</f>
        <v>0</v>
      </c>
      <c r="N234" s="154"/>
      <c r="O234" s="157"/>
      <c r="P234" s="147" t="s">
        <v>102</v>
      </c>
      <c r="Q234" s="157">
        <f>SUM(Q225:Q233)</f>
        <v>0</v>
      </c>
      <c r="R234" s="152"/>
    </row>
    <row r="235" spans="1:18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  <c r="J235" s="149"/>
      <c r="K235" s="150"/>
      <c r="L235" s="147" t="s">
        <v>103</v>
      </c>
      <c r="M235" s="157">
        <f>M234-Q234</f>
        <v>0</v>
      </c>
      <c r="N235" s="157"/>
      <c r="O235" s="158" t="s">
        <v>104</v>
      </c>
      <c r="Q235" s="150"/>
      <c r="R235" s="152"/>
    </row>
    <row r="236" spans="1:18" ht="17.100000000000001" customHeight="1" x14ac:dyDescent="0.2">
      <c r="A236" s="149"/>
      <c r="B236" s="150"/>
      <c r="C236" s="307" t="str">
        <f>"("&amp;BAHTTEXT(D235)&amp;")"</f>
        <v>(ศูนย์บาทถ้วน)</v>
      </c>
      <c r="D236" s="307"/>
      <c r="E236" s="307"/>
      <c r="F236" s="307"/>
      <c r="G236" s="307"/>
      <c r="H236" s="150"/>
      <c r="I236" s="152"/>
      <c r="J236" s="149"/>
      <c r="L236" s="307" t="str">
        <f>"("&amp;BAHTTEXT(M235)&amp;")"</f>
        <v>(ศูนย์บาทถ้วน)</v>
      </c>
      <c r="M236" s="307"/>
      <c r="N236" s="307"/>
      <c r="O236" s="307"/>
      <c r="P236" s="307"/>
      <c r="R236" s="152"/>
    </row>
    <row r="237" spans="1:18" ht="17.100000000000001" customHeight="1" x14ac:dyDescent="0.2">
      <c r="A237" s="149"/>
      <c r="B237" s="150"/>
      <c r="C237" s="147"/>
      <c r="D237" s="147"/>
      <c r="E237" s="147"/>
      <c r="F237" s="147"/>
      <c r="G237" s="147"/>
      <c r="H237" s="150"/>
      <c r="I237" s="152"/>
      <c r="J237" s="149"/>
      <c r="L237" s="147"/>
      <c r="M237" s="147"/>
      <c r="N237" s="147"/>
      <c r="O237" s="147"/>
      <c r="P237" s="147"/>
      <c r="R237" s="152"/>
    </row>
    <row r="238" spans="1:18" ht="17.100000000000001" customHeight="1" x14ac:dyDescent="0.2">
      <c r="A238" s="149"/>
      <c r="B238" s="150"/>
      <c r="C238" s="147"/>
      <c r="D238" s="147"/>
      <c r="E238" s="147"/>
      <c r="F238" s="147"/>
      <c r="G238" s="147"/>
      <c r="H238" s="150"/>
      <c r="I238" s="152"/>
      <c r="J238" s="149"/>
      <c r="L238" s="147"/>
      <c r="M238" s="147"/>
      <c r="N238" s="147"/>
      <c r="O238" s="147"/>
      <c r="P238" s="147"/>
      <c r="R238" s="152"/>
    </row>
    <row r="239" spans="1:18" ht="17.100000000000001" customHeight="1" x14ac:dyDescent="0.2">
      <c r="A239" s="149"/>
      <c r="B239" s="150"/>
      <c r="C239" s="150"/>
      <c r="D239" s="150"/>
      <c r="E239" s="150"/>
      <c r="F239" s="150"/>
      <c r="G239" s="150"/>
      <c r="H239" s="150"/>
      <c r="I239" s="152"/>
      <c r="J239" s="149"/>
      <c r="R239" s="152"/>
    </row>
    <row r="240" spans="1:18" ht="17.100000000000001" customHeight="1" x14ac:dyDescent="0.2">
      <c r="A240" s="149"/>
      <c r="I240" s="152"/>
      <c r="J240" s="149"/>
      <c r="R240" s="152"/>
    </row>
    <row r="241" spans="1:18" ht="17.100000000000001" customHeight="1" x14ac:dyDescent="0.2">
      <c r="A241" s="308" t="s">
        <v>315</v>
      </c>
      <c r="B241" s="307"/>
      <c r="C241" s="307"/>
      <c r="D241" s="307"/>
      <c r="E241" s="307"/>
      <c r="F241" s="307"/>
      <c r="G241" s="307"/>
      <c r="H241" s="307"/>
      <c r="I241" s="309"/>
      <c r="J241" s="308" t="s">
        <v>315</v>
      </c>
      <c r="K241" s="307"/>
      <c r="L241" s="307"/>
      <c r="M241" s="307"/>
      <c r="N241" s="307"/>
      <c r="O241" s="307"/>
      <c r="P241" s="307"/>
      <c r="Q241" s="307"/>
      <c r="R241" s="309"/>
    </row>
    <row r="242" spans="1:18" ht="17.100000000000001" customHeight="1" x14ac:dyDescent="0.2">
      <c r="A242" s="310" t="s">
        <v>298</v>
      </c>
      <c r="B242" s="311"/>
      <c r="C242" s="311"/>
      <c r="D242" s="311"/>
      <c r="E242" s="311"/>
      <c r="F242" s="311"/>
      <c r="G242" s="311"/>
      <c r="H242" s="311"/>
      <c r="I242" s="312"/>
      <c r="J242" s="310" t="s">
        <v>298</v>
      </c>
      <c r="K242" s="311"/>
      <c r="L242" s="311"/>
      <c r="M242" s="311"/>
      <c r="N242" s="311"/>
      <c r="O242" s="311"/>
      <c r="P242" s="311"/>
      <c r="Q242" s="311"/>
      <c r="R242" s="312"/>
    </row>
    <row r="243" spans="1:18" ht="17.100000000000001" customHeight="1" x14ac:dyDescent="0.2">
      <c r="A243" s="313" t="str">
        <f>พกส.1!A221</f>
        <v>โรงพยาบาลสามโคก  ประจำเดือน  พฤศจิกายน  2568</v>
      </c>
      <c r="B243" s="314"/>
      <c r="C243" s="314"/>
      <c r="D243" s="314"/>
      <c r="E243" s="314"/>
      <c r="F243" s="314"/>
      <c r="G243" s="314"/>
      <c r="H243" s="314"/>
      <c r="I243" s="315"/>
      <c r="J243" s="313" t="str">
        <f>พกส.1!J221</f>
        <v>โรงพยาบาลสามโคก  ประจำเดือน  พฤศจิกายน  2568</v>
      </c>
      <c r="K243" s="314"/>
      <c r="L243" s="314"/>
      <c r="M243" s="314"/>
      <c r="N243" s="314"/>
      <c r="O243" s="314"/>
      <c r="P243" s="314"/>
      <c r="Q243" s="314"/>
      <c r="R243" s="315"/>
    </row>
    <row r="244" spans="1:18" ht="17.100000000000001" customHeight="1" x14ac:dyDescent="0.2">
      <c r="A244" s="308" t="s">
        <v>303</v>
      </c>
      <c r="B244" s="307"/>
      <c r="C244" s="307"/>
      <c r="D244" s="307"/>
      <c r="E244" s="307"/>
      <c r="F244" s="307"/>
      <c r="G244" s="307"/>
      <c r="H244" s="307"/>
      <c r="I244" s="309"/>
      <c r="J244" s="308" t="s">
        <v>443</v>
      </c>
      <c r="K244" s="307"/>
      <c r="L244" s="307"/>
      <c r="M244" s="307"/>
      <c r="N244" s="307"/>
      <c r="O244" s="307"/>
      <c r="P244" s="307"/>
      <c r="Q244" s="307"/>
      <c r="R244" s="309"/>
    </row>
    <row r="245" spans="1:18" ht="17.100000000000001" customHeight="1" x14ac:dyDescent="0.2">
      <c r="A245" s="149"/>
      <c r="B245" s="153"/>
      <c r="C245" s="150"/>
      <c r="D245" s="147"/>
      <c r="E245" s="147"/>
      <c r="F245" s="147"/>
      <c r="G245" s="150"/>
      <c r="H245" s="150"/>
      <c r="I245" s="152"/>
      <c r="J245" s="149"/>
      <c r="K245" s="153"/>
      <c r="L245" s="150"/>
      <c r="M245" s="147"/>
      <c r="N245" s="147"/>
      <c r="O245" s="147"/>
      <c r="P245" s="150"/>
      <c r="Q245" s="150"/>
      <c r="R245" s="152"/>
    </row>
    <row r="246" spans="1:18" ht="17.100000000000001" customHeight="1" x14ac:dyDescent="0.2">
      <c r="A246" s="149"/>
      <c r="B246" s="307" t="s">
        <v>9</v>
      </c>
      <c r="C246" s="307"/>
      <c r="D246" s="307"/>
      <c r="E246" s="147"/>
      <c r="F246" s="147"/>
      <c r="G246" s="307" t="s">
        <v>10</v>
      </c>
      <c r="H246" s="307"/>
      <c r="I246" s="152"/>
      <c r="J246" s="149"/>
      <c r="K246" s="307" t="s">
        <v>9</v>
      </c>
      <c r="L246" s="307"/>
      <c r="M246" s="307"/>
      <c r="N246" s="147"/>
      <c r="O246" s="147"/>
      <c r="P246" s="147" t="s">
        <v>10</v>
      </c>
      <c r="Q246" s="147"/>
      <c r="R246" s="152"/>
    </row>
    <row r="247" spans="1:18" ht="17.100000000000001" customHeight="1" x14ac:dyDescent="0.2">
      <c r="A247" s="149"/>
      <c r="B247" s="306" t="s">
        <v>3</v>
      </c>
      <c r="C247" s="306"/>
      <c r="D247" s="154">
        <f>พกส.!E19</f>
        <v>0</v>
      </c>
      <c r="E247" s="154"/>
      <c r="F247" s="155"/>
      <c r="G247" s="189" t="s">
        <v>116</v>
      </c>
      <c r="H247" s="154">
        <f>พกส.!N19</f>
        <v>0</v>
      </c>
      <c r="I247" s="169"/>
      <c r="J247" s="149"/>
      <c r="K247" s="150" t="s">
        <v>3</v>
      </c>
      <c r="L247" s="150"/>
      <c r="M247" s="154">
        <f>พกส.!E35</f>
        <v>0</v>
      </c>
      <c r="N247" s="154"/>
      <c r="O247" s="155"/>
      <c r="P247" s="189" t="s">
        <v>116</v>
      </c>
      <c r="Q247" s="154">
        <f>พกส.!N35</f>
        <v>0</v>
      </c>
      <c r="R247" s="152"/>
    </row>
    <row r="248" spans="1:18" ht="17.100000000000001" customHeight="1" x14ac:dyDescent="0.2">
      <c r="A248" s="149"/>
      <c r="B248" s="306" t="s">
        <v>106</v>
      </c>
      <c r="C248" s="306"/>
      <c r="D248" s="154">
        <v>0</v>
      </c>
      <c r="E248" s="154"/>
      <c r="F248" s="155"/>
      <c r="G248" s="189" t="s">
        <v>54</v>
      </c>
      <c r="H248" s="154">
        <v>0</v>
      </c>
      <c r="I248" s="169"/>
      <c r="J248" s="149"/>
      <c r="K248" s="150" t="s">
        <v>106</v>
      </c>
      <c r="L248" s="150"/>
      <c r="M248" s="154">
        <v>0</v>
      </c>
      <c r="N248" s="154"/>
      <c r="O248" s="155"/>
      <c r="P248" s="189" t="s">
        <v>54</v>
      </c>
      <c r="Q248" s="154">
        <v>0</v>
      </c>
      <c r="R248" s="152"/>
    </row>
    <row r="249" spans="1:18" ht="17.100000000000001" customHeight="1" x14ac:dyDescent="0.2">
      <c r="A249" s="149"/>
      <c r="B249" s="306" t="s">
        <v>107</v>
      </c>
      <c r="C249" s="306"/>
      <c r="D249" s="154">
        <v>0</v>
      </c>
      <c r="E249" s="154"/>
      <c r="F249" s="155"/>
      <c r="G249" s="189" t="s">
        <v>100</v>
      </c>
      <c r="H249" s="154">
        <v>0</v>
      </c>
      <c r="I249" s="169"/>
      <c r="J249" s="149"/>
      <c r="K249" s="306" t="s">
        <v>140</v>
      </c>
      <c r="L249" s="306"/>
      <c r="M249" s="154">
        <v>0</v>
      </c>
      <c r="N249" s="154"/>
      <c r="O249" s="155"/>
      <c r="P249" s="189" t="s">
        <v>100</v>
      </c>
      <c r="Q249" s="154">
        <f>พกส.!O77</f>
        <v>0</v>
      </c>
      <c r="R249" s="152"/>
    </row>
    <row r="250" spans="1:18" ht="17.100000000000001" customHeight="1" x14ac:dyDescent="0.2">
      <c r="A250" s="149"/>
      <c r="B250" s="306" t="s">
        <v>105</v>
      </c>
      <c r="C250" s="306"/>
      <c r="D250" s="154">
        <v>0</v>
      </c>
      <c r="E250" s="154"/>
      <c r="F250" s="155"/>
      <c r="G250" s="189" t="s">
        <v>55</v>
      </c>
      <c r="H250" s="154">
        <f>พกส.!P19</f>
        <v>0</v>
      </c>
      <c r="I250" s="169"/>
      <c r="J250" s="149"/>
      <c r="K250" s="306" t="s">
        <v>105</v>
      </c>
      <c r="L250" s="306"/>
      <c r="M250" s="154">
        <f>พกส.!H35</f>
        <v>0</v>
      </c>
      <c r="N250" s="154"/>
      <c r="O250" s="155"/>
      <c r="P250" s="189" t="s">
        <v>55</v>
      </c>
      <c r="Q250" s="154">
        <v>0</v>
      </c>
      <c r="R250" s="152"/>
    </row>
    <row r="251" spans="1:18" ht="17.100000000000001" customHeight="1" x14ac:dyDescent="0.2">
      <c r="A251" s="149"/>
      <c r="B251" s="306" t="s">
        <v>661</v>
      </c>
      <c r="C251" s="306"/>
      <c r="D251" s="154">
        <f>พกส.!I19</f>
        <v>0</v>
      </c>
      <c r="E251" s="154"/>
      <c r="F251" s="155"/>
      <c r="G251" s="153" t="s">
        <v>209</v>
      </c>
      <c r="H251" s="156">
        <f>พกส.!Q19</f>
        <v>0</v>
      </c>
      <c r="I251" s="169"/>
      <c r="J251" s="149"/>
      <c r="K251" s="306" t="s">
        <v>661</v>
      </c>
      <c r="L251" s="306"/>
      <c r="M251" s="154">
        <f>พกส.!I35</f>
        <v>0</v>
      </c>
      <c r="N251" s="154"/>
      <c r="O251" s="155"/>
      <c r="P251" s="153" t="s">
        <v>209</v>
      </c>
      <c r="Q251" s="156">
        <f>พกส.!Q77</f>
        <v>0</v>
      </c>
      <c r="R251" s="152"/>
    </row>
    <row r="252" spans="1:18" ht="17.100000000000001" customHeight="1" x14ac:dyDescent="0.2">
      <c r="A252" s="149"/>
      <c r="B252" s="306" t="s">
        <v>119</v>
      </c>
      <c r="C252" s="306"/>
      <c r="D252" s="154">
        <f>พกส.!J19</f>
        <v>0</v>
      </c>
      <c r="E252" s="154"/>
      <c r="F252" s="155"/>
      <c r="G252" s="153" t="s">
        <v>137</v>
      </c>
      <c r="H252" s="171">
        <f>พกส.!R19</f>
        <v>0</v>
      </c>
      <c r="I252" s="169"/>
      <c r="J252" s="149"/>
      <c r="K252" s="306" t="s">
        <v>662</v>
      </c>
      <c r="L252" s="306"/>
      <c r="M252" s="154">
        <f>พกส.!J35</f>
        <v>0</v>
      </c>
      <c r="N252" s="154"/>
      <c r="O252" s="155"/>
      <c r="P252" s="153" t="s">
        <v>137</v>
      </c>
      <c r="Q252" s="156">
        <v>0</v>
      </c>
      <c r="R252" s="152"/>
    </row>
    <row r="253" spans="1:18" ht="17.100000000000001" customHeight="1" x14ac:dyDescent="0.2">
      <c r="A253" s="149"/>
      <c r="B253" s="306" t="s">
        <v>663</v>
      </c>
      <c r="C253" s="306"/>
      <c r="D253" s="154">
        <f>พกส.!L19</f>
        <v>0</v>
      </c>
      <c r="E253" s="154"/>
      <c r="F253" s="155"/>
      <c r="G253" s="153" t="s">
        <v>377</v>
      </c>
      <c r="H253" s="156">
        <f>พกส.!U19</f>
        <v>0</v>
      </c>
      <c r="I253" s="169"/>
      <c r="J253" s="149"/>
      <c r="K253" s="306" t="s">
        <v>663</v>
      </c>
      <c r="L253" s="306"/>
      <c r="M253" s="154">
        <f>พกส.!L35</f>
        <v>0</v>
      </c>
      <c r="N253" s="154"/>
      <c r="O253" s="155"/>
      <c r="P253" s="153" t="s">
        <v>377</v>
      </c>
      <c r="Q253" s="156">
        <v>0</v>
      </c>
      <c r="R253" s="152"/>
    </row>
    <row r="254" spans="1:18" ht="17.100000000000001" customHeight="1" x14ac:dyDescent="0.2">
      <c r="A254" s="149"/>
      <c r="B254" s="306" t="s">
        <v>6</v>
      </c>
      <c r="C254" s="306"/>
      <c r="D254" s="154">
        <v>0</v>
      </c>
      <c r="E254" s="154"/>
      <c r="F254" s="155"/>
      <c r="G254" s="189" t="s">
        <v>56</v>
      </c>
      <c r="H254" s="156">
        <f>พกส.!V19</f>
        <v>0</v>
      </c>
      <c r="I254" s="169"/>
      <c r="J254" s="149"/>
      <c r="K254" s="306" t="s">
        <v>6</v>
      </c>
      <c r="L254" s="306"/>
      <c r="M254" s="154">
        <f>พกส.!L77</f>
        <v>0</v>
      </c>
      <c r="N254" s="154"/>
      <c r="O254" s="155"/>
      <c r="P254" s="189" t="s">
        <v>56</v>
      </c>
      <c r="Q254" s="156">
        <v>0</v>
      </c>
      <c r="R254" s="152"/>
    </row>
    <row r="255" spans="1:18" ht="17.100000000000001" customHeight="1" x14ac:dyDescent="0.2">
      <c r="A255" s="149"/>
      <c r="B255" s="306" t="s">
        <v>7</v>
      </c>
      <c r="C255" s="306"/>
      <c r="D255" s="154">
        <v>0</v>
      </c>
      <c r="E255" s="154"/>
      <c r="F255" s="155"/>
      <c r="G255" s="189" t="s">
        <v>57</v>
      </c>
      <c r="H255" s="154"/>
      <c r="I255" s="169"/>
      <c r="J255" s="149"/>
      <c r="K255" s="150" t="s">
        <v>7</v>
      </c>
      <c r="L255" s="150"/>
      <c r="M255" s="154">
        <v>0</v>
      </c>
      <c r="N255" s="154"/>
      <c r="O255" s="155"/>
      <c r="P255" s="189" t="s">
        <v>57</v>
      </c>
      <c r="Q255" s="154"/>
      <c r="R255" s="152"/>
    </row>
    <row r="256" spans="1:18" ht="17.100000000000001" customHeight="1" x14ac:dyDescent="0.2">
      <c r="A256" s="149"/>
      <c r="B256" s="307" t="s">
        <v>117</v>
      </c>
      <c r="C256" s="307"/>
      <c r="D256" s="157">
        <f>SUM(D247:D255)</f>
        <v>0</v>
      </c>
      <c r="E256" s="157"/>
      <c r="F256" s="157"/>
      <c r="G256" s="147" t="s">
        <v>118</v>
      </c>
      <c r="H256" s="157">
        <f>SUM(H247:H255)</f>
        <v>0</v>
      </c>
      <c r="I256" s="169"/>
      <c r="J256" s="149"/>
      <c r="K256" s="307" t="s">
        <v>101</v>
      </c>
      <c r="L256" s="307"/>
      <c r="M256" s="154">
        <f>SUM(M247:M255)</f>
        <v>0</v>
      </c>
      <c r="N256" s="154"/>
      <c r="O256" s="157"/>
      <c r="P256" s="147" t="s">
        <v>102</v>
      </c>
      <c r="Q256" s="157">
        <f>SUM(Q247:Q255)</f>
        <v>0</v>
      </c>
      <c r="R256" s="152"/>
    </row>
    <row r="257" spans="1:18" ht="17.100000000000001" customHeight="1" x14ac:dyDescent="0.2">
      <c r="A257" s="149"/>
      <c r="B257" s="150"/>
      <c r="C257" s="147" t="s">
        <v>103</v>
      </c>
      <c r="D257" s="157">
        <f>D256-H256</f>
        <v>0</v>
      </c>
      <c r="E257" s="157"/>
      <c r="F257" s="158" t="s">
        <v>104</v>
      </c>
      <c r="H257" s="150"/>
      <c r="I257" s="152"/>
      <c r="J257" s="149"/>
      <c r="K257" s="150"/>
      <c r="L257" s="147" t="s">
        <v>103</v>
      </c>
      <c r="M257" s="157">
        <f>M256-Q256</f>
        <v>0</v>
      </c>
      <c r="N257" s="157"/>
      <c r="O257" s="158" t="s">
        <v>104</v>
      </c>
      <c r="Q257" s="150"/>
      <c r="R257" s="152"/>
    </row>
    <row r="258" spans="1:18" ht="17.100000000000001" customHeight="1" x14ac:dyDescent="0.2">
      <c r="A258" s="149"/>
      <c r="B258" s="150"/>
      <c r="C258" s="307" t="str">
        <f>"("&amp;BAHTTEXT(D257)&amp;")"</f>
        <v>(ศูนย์บาทถ้วน)</v>
      </c>
      <c r="D258" s="307"/>
      <c r="E258" s="307"/>
      <c r="F258" s="307"/>
      <c r="G258" s="307"/>
      <c r="H258" s="150"/>
      <c r="I258" s="152"/>
      <c r="J258" s="149"/>
      <c r="L258" s="307" t="str">
        <f>"("&amp;BAHTTEXT(M257)&amp;")"</f>
        <v>(ศูนย์บาทถ้วน)</v>
      </c>
      <c r="M258" s="307"/>
      <c r="N258" s="307"/>
      <c r="O258" s="307"/>
      <c r="P258" s="307"/>
      <c r="R258" s="152"/>
    </row>
    <row r="259" spans="1:18" ht="17.100000000000001" customHeight="1" x14ac:dyDescent="0.2">
      <c r="A259" s="149"/>
      <c r="B259" s="150"/>
      <c r="C259" s="147"/>
      <c r="D259" s="147"/>
      <c r="E259" s="147"/>
      <c r="F259" s="147"/>
      <c r="G259" s="147"/>
      <c r="H259" s="150"/>
      <c r="I259" s="152"/>
      <c r="J259" s="149"/>
      <c r="L259" s="147"/>
      <c r="M259" s="147"/>
      <c r="N259" s="147"/>
      <c r="O259" s="147"/>
      <c r="P259" s="147"/>
      <c r="R259" s="152"/>
    </row>
    <row r="260" spans="1:18" ht="17.100000000000001" customHeight="1" x14ac:dyDescent="0.2">
      <c r="A260" s="149"/>
      <c r="B260" s="150"/>
      <c r="C260" s="147"/>
      <c r="D260" s="147"/>
      <c r="E260" s="147"/>
      <c r="F260" s="147"/>
      <c r="G260" s="147"/>
      <c r="H260" s="150"/>
      <c r="I260" s="152"/>
      <c r="J260" s="149"/>
      <c r="L260" s="147"/>
      <c r="M260" s="147"/>
      <c r="N260" s="147"/>
      <c r="O260" s="147"/>
      <c r="P260" s="147"/>
      <c r="R260" s="152"/>
    </row>
    <row r="261" spans="1:18" ht="17.100000000000001" customHeight="1" x14ac:dyDescent="0.2">
      <c r="A261" s="149"/>
      <c r="B261" s="150"/>
      <c r="C261" s="150"/>
      <c r="D261" s="150"/>
      <c r="E261" s="150"/>
      <c r="F261" s="150"/>
      <c r="G261" s="150"/>
      <c r="H261" s="150"/>
      <c r="I261" s="152"/>
      <c r="J261" s="149"/>
      <c r="R261" s="152"/>
    </row>
    <row r="262" spans="1:18" ht="17.100000000000001" customHeight="1" x14ac:dyDescent="0.2">
      <c r="A262" s="149"/>
      <c r="B262" s="150"/>
      <c r="C262" s="150"/>
      <c r="D262" s="150"/>
      <c r="E262" s="150"/>
      <c r="F262" s="150"/>
      <c r="G262" s="150"/>
      <c r="H262" s="150"/>
      <c r="I262" s="152"/>
      <c r="J262" s="149"/>
      <c r="R262" s="152"/>
    </row>
    <row r="263" spans="1:18" ht="17.100000000000001" customHeight="1" x14ac:dyDescent="0.2">
      <c r="A263" s="308" t="s">
        <v>315</v>
      </c>
      <c r="B263" s="307"/>
      <c r="C263" s="307"/>
      <c r="D263" s="307"/>
      <c r="E263" s="307"/>
      <c r="F263" s="307"/>
      <c r="G263" s="307"/>
      <c r="H263" s="307"/>
      <c r="I263" s="309"/>
      <c r="J263" s="308" t="s">
        <v>315</v>
      </c>
      <c r="K263" s="307"/>
      <c r="L263" s="307"/>
      <c r="M263" s="307"/>
      <c r="N263" s="307"/>
      <c r="O263" s="307"/>
      <c r="P263" s="307"/>
      <c r="Q263" s="307"/>
      <c r="R263" s="309"/>
    </row>
    <row r="264" spans="1:18" ht="17.100000000000001" customHeight="1" x14ac:dyDescent="0.2">
      <c r="A264" s="310" t="s">
        <v>298</v>
      </c>
      <c r="B264" s="311"/>
      <c r="C264" s="311"/>
      <c r="D264" s="311"/>
      <c r="E264" s="311"/>
      <c r="F264" s="311"/>
      <c r="G264" s="311"/>
      <c r="H264" s="311"/>
      <c r="I264" s="312"/>
      <c r="J264" s="310" t="s">
        <v>298</v>
      </c>
      <c r="K264" s="311"/>
      <c r="L264" s="311"/>
      <c r="M264" s="311"/>
      <c r="N264" s="311"/>
      <c r="O264" s="311"/>
      <c r="P264" s="311"/>
      <c r="Q264" s="311"/>
      <c r="R264" s="312"/>
    </row>
    <row r="265" spans="1:18" ht="17.100000000000001" customHeight="1" x14ac:dyDescent="0.2">
      <c r="A265" s="313" t="str">
        <f>พกส.1!A221</f>
        <v>โรงพยาบาลสามโคก  ประจำเดือน  พฤศจิกายน  2568</v>
      </c>
      <c r="B265" s="314"/>
      <c r="C265" s="314"/>
      <c r="D265" s="314"/>
      <c r="E265" s="314"/>
      <c r="F265" s="314"/>
      <c r="G265" s="314"/>
      <c r="H265" s="314"/>
      <c r="I265" s="315"/>
      <c r="J265" s="313" t="str">
        <f>พกส.1!J243</f>
        <v>โรงพยาบาลสามโคก  ประจำเดือน  พฤศจิกายน  2568</v>
      </c>
      <c r="K265" s="314"/>
      <c r="L265" s="314"/>
      <c r="M265" s="314"/>
      <c r="N265" s="314"/>
      <c r="O265" s="314"/>
      <c r="P265" s="314"/>
      <c r="Q265" s="314"/>
      <c r="R265" s="315"/>
    </row>
    <row r="266" spans="1:18" ht="17.100000000000001" customHeight="1" x14ac:dyDescent="0.2">
      <c r="A266" s="308" t="s">
        <v>125</v>
      </c>
      <c r="B266" s="307"/>
      <c r="C266" s="307"/>
      <c r="D266" s="307"/>
      <c r="E266" s="307"/>
      <c r="F266" s="307"/>
      <c r="G266" s="307"/>
      <c r="H266" s="307"/>
      <c r="I266" s="309"/>
      <c r="J266" s="308" t="s">
        <v>444</v>
      </c>
      <c r="K266" s="307"/>
      <c r="L266" s="307"/>
      <c r="M266" s="307"/>
      <c r="N266" s="307"/>
      <c r="O266" s="307"/>
      <c r="P266" s="307"/>
      <c r="Q266" s="307"/>
      <c r="R266" s="309"/>
    </row>
    <row r="267" spans="1:18" ht="17.100000000000001" customHeight="1" x14ac:dyDescent="0.2">
      <c r="A267" s="149"/>
      <c r="B267" s="153"/>
      <c r="C267" s="150"/>
      <c r="D267" s="147"/>
      <c r="E267" s="147"/>
      <c r="F267" s="147"/>
      <c r="G267" s="150"/>
      <c r="H267" s="150"/>
      <c r="I267" s="152"/>
      <c r="J267" s="149"/>
      <c r="K267" s="153"/>
      <c r="L267" s="150"/>
      <c r="M267" s="147"/>
      <c r="N267" s="147"/>
      <c r="O267" s="147"/>
      <c r="P267" s="150"/>
      <c r="Q267" s="150"/>
      <c r="R267" s="152"/>
    </row>
    <row r="268" spans="1:18" ht="17.100000000000001" customHeight="1" x14ac:dyDescent="0.2">
      <c r="A268" s="149"/>
      <c r="B268" s="307" t="s">
        <v>9</v>
      </c>
      <c r="C268" s="307"/>
      <c r="D268" s="307"/>
      <c r="E268" s="147"/>
      <c r="F268" s="147"/>
      <c r="G268" s="307" t="s">
        <v>10</v>
      </c>
      <c r="H268" s="307"/>
      <c r="I268" s="152"/>
      <c r="J268" s="149"/>
      <c r="K268" s="307" t="s">
        <v>9</v>
      </c>
      <c r="L268" s="307"/>
      <c r="M268" s="307"/>
      <c r="N268" s="147"/>
      <c r="O268" s="147"/>
      <c r="P268" s="147" t="s">
        <v>10</v>
      </c>
      <c r="Q268" s="147"/>
      <c r="R268" s="152"/>
    </row>
    <row r="269" spans="1:18" ht="17.100000000000001" customHeight="1" x14ac:dyDescent="0.2">
      <c r="A269" s="149"/>
      <c r="B269" s="306" t="s">
        <v>3</v>
      </c>
      <c r="C269" s="306"/>
      <c r="D269" s="154">
        <f>พกส.!E20</f>
        <v>0</v>
      </c>
      <c r="E269" s="154"/>
      <c r="F269" s="155"/>
      <c r="G269" s="189" t="s">
        <v>116</v>
      </c>
      <c r="H269" s="154">
        <f>พกส.!N20</f>
        <v>0</v>
      </c>
      <c r="I269" s="169"/>
      <c r="J269" s="149"/>
      <c r="K269" s="150" t="s">
        <v>3</v>
      </c>
      <c r="L269" s="150"/>
      <c r="M269" s="154">
        <f>พกส.!E36</f>
        <v>0</v>
      </c>
      <c r="N269" s="154"/>
      <c r="O269" s="155"/>
      <c r="P269" s="189" t="s">
        <v>116</v>
      </c>
      <c r="Q269" s="154">
        <f>พกส.!N36</f>
        <v>0</v>
      </c>
      <c r="R269" s="152"/>
    </row>
    <row r="270" spans="1:18" ht="17.100000000000001" customHeight="1" x14ac:dyDescent="0.2">
      <c r="A270" s="149"/>
      <c r="B270" s="306" t="s">
        <v>106</v>
      </c>
      <c r="C270" s="306"/>
      <c r="D270" s="154">
        <v>0</v>
      </c>
      <c r="E270" s="154"/>
      <c r="F270" s="155"/>
      <c r="G270" s="189" t="s">
        <v>54</v>
      </c>
      <c r="H270" s="154">
        <v>3000</v>
      </c>
      <c r="I270" s="169"/>
      <c r="J270" s="149"/>
      <c r="K270" s="150" t="s">
        <v>106</v>
      </c>
      <c r="L270" s="150"/>
      <c r="M270" s="154">
        <v>0</v>
      </c>
      <c r="N270" s="154"/>
      <c r="O270" s="155"/>
      <c r="P270" s="189" t="s">
        <v>54</v>
      </c>
      <c r="Q270" s="154">
        <v>0</v>
      </c>
      <c r="R270" s="152"/>
    </row>
    <row r="271" spans="1:18" ht="17.100000000000001" customHeight="1" x14ac:dyDescent="0.2">
      <c r="A271" s="149"/>
      <c r="B271" s="306" t="s">
        <v>107</v>
      </c>
      <c r="C271" s="306"/>
      <c r="D271" s="154">
        <v>0</v>
      </c>
      <c r="E271" s="154"/>
      <c r="F271" s="155"/>
      <c r="G271" s="189" t="s">
        <v>100</v>
      </c>
      <c r="H271" s="154">
        <v>0</v>
      </c>
      <c r="I271" s="169"/>
      <c r="J271" s="149"/>
      <c r="K271" s="306" t="s">
        <v>140</v>
      </c>
      <c r="L271" s="306"/>
      <c r="M271" s="154">
        <v>0</v>
      </c>
      <c r="N271" s="154"/>
      <c r="O271" s="155"/>
      <c r="P271" s="189" t="s">
        <v>100</v>
      </c>
      <c r="Q271" s="154">
        <f>พกส.!O99</f>
        <v>0</v>
      </c>
      <c r="R271" s="152"/>
    </row>
    <row r="272" spans="1:18" ht="17.100000000000001" customHeight="1" x14ac:dyDescent="0.2">
      <c r="A272" s="149"/>
      <c r="B272" s="306" t="s">
        <v>105</v>
      </c>
      <c r="C272" s="306"/>
      <c r="D272" s="154">
        <v>0</v>
      </c>
      <c r="E272" s="154"/>
      <c r="F272" s="155"/>
      <c r="G272" s="189" t="s">
        <v>55</v>
      </c>
      <c r="H272" s="154">
        <v>0</v>
      </c>
      <c r="I272" s="169"/>
      <c r="J272" s="149"/>
      <c r="K272" s="306" t="s">
        <v>130</v>
      </c>
      <c r="L272" s="306"/>
      <c r="M272" s="154">
        <f>พกส.!H57</f>
        <v>0</v>
      </c>
      <c r="N272" s="154"/>
      <c r="O272" s="155"/>
      <c r="P272" s="189" t="s">
        <v>55</v>
      </c>
      <c r="Q272" s="154">
        <v>0</v>
      </c>
      <c r="R272" s="152"/>
    </row>
    <row r="273" spans="1:18" ht="17.100000000000001" customHeight="1" x14ac:dyDescent="0.2">
      <c r="A273" s="149"/>
      <c r="B273" s="306" t="s">
        <v>661</v>
      </c>
      <c r="C273" s="306"/>
      <c r="D273" s="154">
        <f>พกส.!I20</f>
        <v>0</v>
      </c>
      <c r="E273" s="154"/>
      <c r="F273" s="155"/>
      <c r="G273" s="153" t="s">
        <v>209</v>
      </c>
      <c r="H273" s="156">
        <v>0</v>
      </c>
      <c r="I273" s="169"/>
      <c r="J273" s="149"/>
      <c r="K273" s="306" t="s">
        <v>291</v>
      </c>
      <c r="L273" s="306"/>
      <c r="M273" s="154">
        <f>พกส.!I36</f>
        <v>0</v>
      </c>
      <c r="N273" s="154"/>
      <c r="O273" s="155"/>
      <c r="P273" s="153" t="s">
        <v>209</v>
      </c>
      <c r="Q273" s="156">
        <f>พกส.!Q99</f>
        <v>0</v>
      </c>
      <c r="R273" s="152"/>
    </row>
    <row r="274" spans="1:18" ht="17.100000000000001" customHeight="1" x14ac:dyDescent="0.2">
      <c r="A274" s="149"/>
      <c r="B274" s="306" t="s">
        <v>119</v>
      </c>
      <c r="C274" s="306"/>
      <c r="D274" s="154">
        <f>พกส.!J20</f>
        <v>0</v>
      </c>
      <c r="E274" s="154"/>
      <c r="F274" s="155"/>
      <c r="G274" s="153" t="s">
        <v>137</v>
      </c>
      <c r="H274" s="156">
        <f>พกส.!R20</f>
        <v>0</v>
      </c>
      <c r="I274" s="169"/>
      <c r="J274" s="149"/>
      <c r="K274" s="306" t="s">
        <v>662</v>
      </c>
      <c r="L274" s="306"/>
      <c r="M274" s="154">
        <f>พกส.!J36</f>
        <v>0</v>
      </c>
      <c r="N274" s="154"/>
      <c r="O274" s="155"/>
      <c r="P274" s="153" t="s">
        <v>137</v>
      </c>
      <c r="Q274" s="156">
        <v>0</v>
      </c>
      <c r="R274" s="152"/>
    </row>
    <row r="275" spans="1:18" ht="17.100000000000001" customHeight="1" x14ac:dyDescent="0.2">
      <c r="A275" s="149"/>
      <c r="B275" s="306" t="s">
        <v>663</v>
      </c>
      <c r="C275" s="306"/>
      <c r="D275" s="154">
        <f>พกส.!L20</f>
        <v>0</v>
      </c>
      <c r="E275" s="154"/>
      <c r="F275" s="155"/>
      <c r="G275" s="153" t="s">
        <v>377</v>
      </c>
      <c r="H275" s="156">
        <v>0</v>
      </c>
      <c r="I275" s="169"/>
      <c r="J275" s="149"/>
      <c r="K275" s="306" t="s">
        <v>663</v>
      </c>
      <c r="L275" s="306"/>
      <c r="M275" s="154">
        <f>พกส.!L36</f>
        <v>0</v>
      </c>
      <c r="N275" s="154"/>
      <c r="O275" s="155"/>
      <c r="P275" s="153" t="s">
        <v>377</v>
      </c>
      <c r="Q275" s="156">
        <v>979</v>
      </c>
      <c r="R275" s="152"/>
    </row>
    <row r="276" spans="1:18" ht="17.100000000000001" customHeight="1" x14ac:dyDescent="0.2">
      <c r="A276" s="149"/>
      <c r="B276" s="306" t="s">
        <v>6</v>
      </c>
      <c r="C276" s="306"/>
      <c r="D276" s="154">
        <v>0</v>
      </c>
      <c r="E276" s="154"/>
      <c r="F276" s="155"/>
      <c r="G276" s="189" t="s">
        <v>56</v>
      </c>
      <c r="H276" s="154">
        <v>0</v>
      </c>
      <c r="I276" s="169"/>
      <c r="J276" s="149"/>
      <c r="K276" s="306" t="s">
        <v>6</v>
      </c>
      <c r="L276" s="306"/>
      <c r="M276" s="154">
        <f>พกส.!L99</f>
        <v>0</v>
      </c>
      <c r="N276" s="154"/>
      <c r="O276" s="155"/>
      <c r="P276" s="189" t="s">
        <v>56</v>
      </c>
      <c r="Q276" s="156">
        <f>พกส.!U36</f>
        <v>0</v>
      </c>
      <c r="R276" s="152"/>
    </row>
    <row r="277" spans="1:18" ht="17.100000000000001" customHeight="1" x14ac:dyDescent="0.2">
      <c r="A277" s="149"/>
      <c r="B277" s="306" t="s">
        <v>7</v>
      </c>
      <c r="C277" s="306"/>
      <c r="D277" s="154">
        <v>0</v>
      </c>
      <c r="E277" s="154"/>
      <c r="F277" s="155"/>
      <c r="G277" s="189" t="s">
        <v>57</v>
      </c>
      <c r="H277" s="154"/>
      <c r="I277" s="169"/>
      <c r="J277" s="149"/>
      <c r="K277" s="150" t="s">
        <v>7</v>
      </c>
      <c r="L277" s="150"/>
      <c r="M277" s="154">
        <v>0</v>
      </c>
      <c r="N277" s="154"/>
      <c r="O277" s="155"/>
      <c r="P277" s="189" t="s">
        <v>57</v>
      </c>
      <c r="Q277" s="154">
        <f>พกส.!V36</f>
        <v>0</v>
      </c>
      <c r="R277" s="152"/>
    </row>
    <row r="278" spans="1:18" ht="17.100000000000001" customHeight="1" x14ac:dyDescent="0.2">
      <c r="A278" s="149"/>
      <c r="B278" s="307" t="s">
        <v>117</v>
      </c>
      <c r="C278" s="307"/>
      <c r="D278" s="157">
        <f>SUM(D269:D277)</f>
        <v>0</v>
      </c>
      <c r="E278" s="157"/>
      <c r="F278" s="157"/>
      <c r="G278" s="147" t="s">
        <v>118</v>
      </c>
      <c r="H278" s="157">
        <f>SUM(H269:H277)</f>
        <v>3000</v>
      </c>
      <c r="I278" s="169"/>
      <c r="J278" s="149"/>
      <c r="K278" s="307" t="s">
        <v>101</v>
      </c>
      <c r="L278" s="307"/>
      <c r="M278" s="154">
        <f>SUM(M269:M277)</f>
        <v>0</v>
      </c>
      <c r="N278" s="154"/>
      <c r="O278" s="157"/>
      <c r="P278" s="147" t="s">
        <v>102</v>
      </c>
      <c r="Q278" s="157">
        <f>SUM(Q269:Q277)</f>
        <v>979</v>
      </c>
      <c r="R278" s="152"/>
    </row>
    <row r="279" spans="1:18" ht="17.100000000000001" customHeight="1" x14ac:dyDescent="0.2">
      <c r="A279" s="149"/>
      <c r="B279" s="150"/>
      <c r="C279" s="147" t="s">
        <v>103</v>
      </c>
      <c r="D279" s="157">
        <f>D278-H278</f>
        <v>-3000</v>
      </c>
      <c r="E279" s="157"/>
      <c r="F279" s="158" t="s">
        <v>104</v>
      </c>
      <c r="H279" s="150"/>
      <c r="I279" s="152"/>
      <c r="J279" s="149"/>
      <c r="K279" s="150"/>
      <c r="L279" s="147" t="s">
        <v>103</v>
      </c>
      <c r="M279" s="157">
        <f>M278-Q278</f>
        <v>-979</v>
      </c>
      <c r="N279" s="157"/>
      <c r="O279" s="158" t="s">
        <v>104</v>
      </c>
      <c r="Q279" s="150"/>
      <c r="R279" s="152"/>
    </row>
    <row r="280" spans="1:18" ht="17.100000000000001" customHeight="1" x14ac:dyDescent="0.2">
      <c r="A280" s="149"/>
      <c r="B280" s="150"/>
      <c r="C280" s="307" t="str">
        <f>"("&amp;BAHTTEXT(D279)&amp;")"</f>
        <v>(ลบสามพันบาทถ้วน)</v>
      </c>
      <c r="D280" s="307"/>
      <c r="E280" s="307"/>
      <c r="F280" s="307"/>
      <c r="G280" s="307"/>
      <c r="H280" s="150"/>
      <c r="I280" s="152"/>
      <c r="J280" s="149"/>
      <c r="L280" s="307" t="str">
        <f>"("&amp;BAHTTEXT(M279)&amp;")"</f>
        <v>(ลบเก้าร้อยเจ็ดสิบเก้าบาทถ้วน)</v>
      </c>
      <c r="M280" s="307"/>
      <c r="N280" s="307"/>
      <c r="O280" s="307"/>
      <c r="P280" s="307"/>
      <c r="R280" s="152"/>
    </row>
    <row r="281" spans="1:18" ht="17.100000000000001" customHeight="1" x14ac:dyDescent="0.2">
      <c r="A281" s="149"/>
      <c r="B281" s="150"/>
      <c r="C281" s="147"/>
      <c r="D281" s="147"/>
      <c r="E281" s="147"/>
      <c r="F281" s="147"/>
      <c r="G281" s="147"/>
      <c r="H281" s="150"/>
      <c r="I281" s="152"/>
      <c r="J281" s="149"/>
      <c r="L281" s="147"/>
      <c r="M281" s="147"/>
      <c r="N281" s="147"/>
      <c r="O281" s="147"/>
      <c r="P281" s="147"/>
      <c r="R281" s="152"/>
    </row>
    <row r="282" spans="1:18" ht="17.100000000000001" customHeight="1" x14ac:dyDescent="0.2">
      <c r="A282" s="149"/>
      <c r="B282" s="150"/>
      <c r="C282" s="147"/>
      <c r="D282" s="147"/>
      <c r="E282" s="147"/>
      <c r="F282" s="147"/>
      <c r="G282" s="147"/>
      <c r="H282" s="150"/>
      <c r="I282" s="152"/>
      <c r="J282" s="149"/>
      <c r="L282" s="147"/>
      <c r="M282" s="147"/>
      <c r="N282" s="147"/>
      <c r="O282" s="147"/>
      <c r="P282" s="147"/>
      <c r="R282" s="152"/>
    </row>
    <row r="283" spans="1:18" ht="17.100000000000001" customHeight="1" x14ac:dyDescent="0.2">
      <c r="A283" s="149"/>
      <c r="B283" s="150"/>
      <c r="C283" s="147"/>
      <c r="D283" s="147"/>
      <c r="E283" s="147"/>
      <c r="F283" s="147"/>
      <c r="G283" s="147"/>
      <c r="H283" s="150"/>
      <c r="I283" s="152"/>
      <c r="J283" s="149"/>
      <c r="R283" s="152"/>
    </row>
    <row r="284" spans="1:18" ht="17.100000000000001" customHeight="1" x14ac:dyDescent="0.2">
      <c r="A284" s="149"/>
      <c r="B284" s="150"/>
      <c r="C284" s="150"/>
      <c r="D284" s="150"/>
      <c r="E284" s="150"/>
      <c r="F284" s="150"/>
      <c r="G284" s="150"/>
      <c r="H284" s="150"/>
      <c r="I284" s="152"/>
      <c r="J284" s="149"/>
      <c r="R284" s="152"/>
    </row>
    <row r="285" spans="1:18" ht="17.100000000000001" customHeight="1" x14ac:dyDescent="0.2">
      <c r="A285" s="308" t="s">
        <v>315</v>
      </c>
      <c r="B285" s="307"/>
      <c r="C285" s="307"/>
      <c r="D285" s="307"/>
      <c r="E285" s="307"/>
      <c r="F285" s="307"/>
      <c r="G285" s="307"/>
      <c r="H285" s="307"/>
      <c r="I285" s="309"/>
      <c r="J285" s="308" t="s">
        <v>315</v>
      </c>
      <c r="K285" s="307"/>
      <c r="L285" s="307"/>
      <c r="M285" s="307"/>
      <c r="N285" s="307"/>
      <c r="O285" s="307"/>
      <c r="P285" s="307"/>
      <c r="Q285" s="307"/>
      <c r="R285" s="309"/>
    </row>
    <row r="286" spans="1:18" ht="17.100000000000001" customHeight="1" x14ac:dyDescent="0.2">
      <c r="A286" s="310" t="s">
        <v>298</v>
      </c>
      <c r="B286" s="311"/>
      <c r="C286" s="311"/>
      <c r="D286" s="311"/>
      <c r="E286" s="311"/>
      <c r="F286" s="311"/>
      <c r="G286" s="311"/>
      <c r="H286" s="311"/>
      <c r="I286" s="312"/>
      <c r="J286" s="310" t="s">
        <v>298</v>
      </c>
      <c r="K286" s="311"/>
      <c r="L286" s="311"/>
      <c r="M286" s="311"/>
      <c r="N286" s="311"/>
      <c r="O286" s="311"/>
      <c r="P286" s="311"/>
      <c r="Q286" s="311"/>
      <c r="R286" s="312"/>
    </row>
    <row r="287" spans="1:18" ht="17.100000000000001" customHeight="1" x14ac:dyDescent="0.2">
      <c r="A287" s="313" t="str">
        <f>A1</f>
        <v>โรงพยาบาลสามโคก  ประจำเดือน  พฤศจิกายน  2568</v>
      </c>
      <c r="B287" s="314"/>
      <c r="C287" s="314"/>
      <c r="D287" s="314"/>
      <c r="E287" s="314"/>
      <c r="F287" s="314"/>
      <c r="G287" s="314"/>
      <c r="H287" s="314"/>
      <c r="I287" s="315"/>
      <c r="J287" s="313" t="str">
        <f>พกส.1!J265</f>
        <v>โรงพยาบาลสามโคก  ประจำเดือน  พฤศจิกายน  2568</v>
      </c>
      <c r="K287" s="314"/>
      <c r="L287" s="314"/>
      <c r="M287" s="314"/>
      <c r="N287" s="314"/>
      <c r="O287" s="314"/>
      <c r="P287" s="314"/>
      <c r="Q287" s="314"/>
      <c r="R287" s="315"/>
    </row>
    <row r="288" spans="1:18" ht="17.100000000000001" customHeight="1" x14ac:dyDescent="0.2">
      <c r="A288" s="308" t="s">
        <v>126</v>
      </c>
      <c r="B288" s="307"/>
      <c r="C288" s="307"/>
      <c r="D288" s="307"/>
      <c r="E288" s="307"/>
      <c r="F288" s="307"/>
      <c r="G288" s="307"/>
      <c r="H288" s="307"/>
      <c r="I288" s="309"/>
      <c r="J288" s="308" t="s">
        <v>434</v>
      </c>
      <c r="K288" s="307"/>
      <c r="L288" s="307"/>
      <c r="M288" s="307"/>
      <c r="N288" s="307"/>
      <c r="O288" s="307"/>
      <c r="P288" s="307"/>
      <c r="Q288" s="307"/>
      <c r="R288" s="309"/>
    </row>
    <row r="289" spans="1:18" ht="17.100000000000001" customHeight="1" x14ac:dyDescent="0.2">
      <c r="A289" s="149"/>
      <c r="B289" s="153"/>
      <c r="C289" s="150"/>
      <c r="D289" s="147"/>
      <c r="E289" s="147"/>
      <c r="F289" s="147"/>
      <c r="G289" s="150"/>
      <c r="H289" s="150"/>
      <c r="I289" s="152"/>
      <c r="J289" s="149"/>
      <c r="K289" s="153"/>
      <c r="L289" s="150"/>
      <c r="M289" s="147"/>
      <c r="N289" s="147"/>
      <c r="O289" s="147"/>
      <c r="P289" s="150"/>
      <c r="Q289" s="150"/>
      <c r="R289" s="152"/>
    </row>
    <row r="290" spans="1:18" ht="17.100000000000001" customHeight="1" x14ac:dyDescent="0.2">
      <c r="A290" s="149"/>
      <c r="B290" s="307" t="s">
        <v>9</v>
      </c>
      <c r="C290" s="307"/>
      <c r="D290" s="307"/>
      <c r="E290" s="147"/>
      <c r="F290" s="147"/>
      <c r="G290" s="147" t="s">
        <v>10</v>
      </c>
      <c r="H290" s="147"/>
      <c r="I290" s="152"/>
      <c r="J290" s="149"/>
      <c r="K290" s="307" t="s">
        <v>9</v>
      </c>
      <c r="L290" s="307"/>
      <c r="M290" s="307"/>
      <c r="N290" s="147"/>
      <c r="O290" s="147"/>
      <c r="P290" s="147" t="s">
        <v>10</v>
      </c>
      <c r="Q290" s="147"/>
      <c r="R290" s="152"/>
    </row>
    <row r="291" spans="1:18" ht="17.100000000000001" customHeight="1" x14ac:dyDescent="0.2">
      <c r="A291" s="149"/>
      <c r="B291" s="150" t="s">
        <v>3</v>
      </c>
      <c r="C291" s="150"/>
      <c r="D291" s="154">
        <f>พกส.!E21</f>
        <v>0</v>
      </c>
      <c r="E291" s="154"/>
      <c r="F291" s="155"/>
      <c r="G291" s="189" t="s">
        <v>116</v>
      </c>
      <c r="H291" s="154">
        <f>พกส.!N21</f>
        <v>0</v>
      </c>
      <c r="I291" s="152"/>
      <c r="J291" s="149"/>
      <c r="K291" s="150" t="s">
        <v>3</v>
      </c>
      <c r="L291" s="150"/>
      <c r="M291" s="154">
        <f>พกส.!E37</f>
        <v>0</v>
      </c>
      <c r="N291" s="154"/>
      <c r="O291" s="155"/>
      <c r="P291" s="189" t="s">
        <v>116</v>
      </c>
      <c r="Q291" s="154">
        <f>พกส.!N37</f>
        <v>0</v>
      </c>
      <c r="R291" s="152"/>
    </row>
    <row r="292" spans="1:18" ht="17.100000000000001" customHeight="1" x14ac:dyDescent="0.2">
      <c r="A292" s="149"/>
      <c r="B292" s="150" t="s">
        <v>106</v>
      </c>
      <c r="C292" s="150"/>
      <c r="D292" s="154">
        <v>0</v>
      </c>
      <c r="E292" s="154"/>
      <c r="F292" s="155"/>
      <c r="G292" s="189" t="s">
        <v>54</v>
      </c>
      <c r="H292" s="154">
        <f>พกส.!O21</f>
        <v>0</v>
      </c>
      <c r="I292" s="152"/>
      <c r="J292" s="149"/>
      <c r="K292" s="150" t="s">
        <v>106</v>
      </c>
      <c r="L292" s="150"/>
      <c r="M292" s="154">
        <v>0</v>
      </c>
      <c r="N292" s="154"/>
      <c r="O292" s="155"/>
      <c r="P292" s="189" t="s">
        <v>54</v>
      </c>
      <c r="Q292" s="154">
        <v>0</v>
      </c>
      <c r="R292" s="152"/>
    </row>
    <row r="293" spans="1:18" ht="17.100000000000001" customHeight="1" x14ac:dyDescent="0.2">
      <c r="A293" s="149"/>
      <c r="B293" s="306" t="s">
        <v>140</v>
      </c>
      <c r="C293" s="306"/>
      <c r="D293" s="154">
        <v>0</v>
      </c>
      <c r="E293" s="154"/>
      <c r="F293" s="155"/>
      <c r="G293" s="189" t="s">
        <v>100</v>
      </c>
      <c r="H293" s="154">
        <v>0</v>
      </c>
      <c r="I293" s="152"/>
      <c r="J293" s="149"/>
      <c r="K293" s="306" t="s">
        <v>140</v>
      </c>
      <c r="L293" s="306"/>
      <c r="M293" s="154">
        <v>0</v>
      </c>
      <c r="N293" s="154"/>
      <c r="O293" s="155"/>
      <c r="P293" s="189" t="s">
        <v>100</v>
      </c>
      <c r="Q293" s="154">
        <f>พกส.!O121</f>
        <v>0</v>
      </c>
      <c r="R293" s="152"/>
    </row>
    <row r="294" spans="1:18" ht="17.100000000000001" customHeight="1" x14ac:dyDescent="0.2">
      <c r="A294" s="149"/>
      <c r="B294" s="306" t="s">
        <v>130</v>
      </c>
      <c r="C294" s="306"/>
      <c r="D294" s="154">
        <v>0</v>
      </c>
      <c r="E294" s="154"/>
      <c r="F294" s="155"/>
      <c r="G294" s="189" t="s">
        <v>55</v>
      </c>
      <c r="H294" s="154">
        <v>0</v>
      </c>
      <c r="I294" s="152"/>
      <c r="J294" s="149"/>
      <c r="K294" s="306" t="s">
        <v>130</v>
      </c>
      <c r="L294" s="306"/>
      <c r="M294" s="154">
        <f>พกส.!H79</f>
        <v>0</v>
      </c>
      <c r="N294" s="154"/>
      <c r="O294" s="155"/>
      <c r="P294" s="189" t="s">
        <v>55</v>
      </c>
      <c r="Q294" s="154">
        <v>0</v>
      </c>
      <c r="R294" s="152"/>
    </row>
    <row r="295" spans="1:18" ht="17.100000000000001" customHeight="1" x14ac:dyDescent="0.2">
      <c r="A295" s="149"/>
      <c r="B295" s="306" t="s">
        <v>661</v>
      </c>
      <c r="C295" s="306"/>
      <c r="D295" s="154">
        <f>พกส.!I21</f>
        <v>0</v>
      </c>
      <c r="E295" s="154"/>
      <c r="F295" s="155"/>
      <c r="G295" s="153" t="s">
        <v>209</v>
      </c>
      <c r="H295" s="156">
        <v>0</v>
      </c>
      <c r="I295" s="152"/>
      <c r="J295" s="149"/>
      <c r="K295" s="306" t="s">
        <v>291</v>
      </c>
      <c r="L295" s="306"/>
      <c r="M295" s="154">
        <f>พกส.!I37</f>
        <v>0</v>
      </c>
      <c r="N295" s="154"/>
      <c r="O295" s="155"/>
      <c r="P295" s="153" t="s">
        <v>209</v>
      </c>
      <c r="Q295" s="156">
        <f>พกส.!Q121</f>
        <v>0</v>
      </c>
      <c r="R295" s="152"/>
    </row>
    <row r="296" spans="1:18" ht="17.100000000000001" customHeight="1" x14ac:dyDescent="0.2">
      <c r="A296" s="149"/>
      <c r="B296" s="306" t="s">
        <v>119</v>
      </c>
      <c r="C296" s="306"/>
      <c r="D296" s="154">
        <f>พกส.!J21</f>
        <v>0</v>
      </c>
      <c r="E296" s="154"/>
      <c r="F296" s="155"/>
      <c r="G296" s="153" t="s">
        <v>137</v>
      </c>
      <c r="H296" s="156">
        <v>0</v>
      </c>
      <c r="I296" s="152"/>
      <c r="J296" s="149"/>
      <c r="K296" s="306" t="s">
        <v>119</v>
      </c>
      <c r="L296" s="306"/>
      <c r="M296" s="154">
        <f>พกส.!J37</f>
        <v>0</v>
      </c>
      <c r="N296" s="154"/>
      <c r="O296" s="155"/>
      <c r="P296" s="153" t="s">
        <v>137</v>
      </c>
      <c r="Q296" s="156">
        <v>0</v>
      </c>
      <c r="R296" s="152"/>
    </row>
    <row r="297" spans="1:18" ht="17.100000000000001" customHeight="1" x14ac:dyDescent="0.2">
      <c r="A297" s="149"/>
      <c r="B297" s="306" t="s">
        <v>663</v>
      </c>
      <c r="C297" s="306"/>
      <c r="D297" s="154">
        <f>พกส.!L21</f>
        <v>0</v>
      </c>
      <c r="E297" s="154"/>
      <c r="F297" s="155"/>
      <c r="G297" s="153" t="s">
        <v>377</v>
      </c>
      <c r="H297" s="156">
        <v>0</v>
      </c>
      <c r="I297" s="152"/>
      <c r="J297" s="149"/>
      <c r="K297" s="306" t="s">
        <v>663</v>
      </c>
      <c r="L297" s="306"/>
      <c r="M297" s="154">
        <f>พกส.!L37</f>
        <v>0</v>
      </c>
      <c r="N297" s="154"/>
      <c r="O297" s="155"/>
      <c r="P297" s="153" t="s">
        <v>377</v>
      </c>
      <c r="Q297" s="156">
        <f>พกส.!T37</f>
        <v>0</v>
      </c>
      <c r="R297" s="152"/>
    </row>
    <row r="298" spans="1:18" ht="17.100000000000001" customHeight="1" x14ac:dyDescent="0.2">
      <c r="A298" s="149"/>
      <c r="B298" s="306" t="s">
        <v>6</v>
      </c>
      <c r="C298" s="306"/>
      <c r="D298" s="154">
        <v>0</v>
      </c>
      <c r="E298" s="154"/>
      <c r="F298" s="155"/>
      <c r="G298" s="189" t="s">
        <v>56</v>
      </c>
      <c r="H298" s="156">
        <v>0</v>
      </c>
      <c r="I298" s="152"/>
      <c r="J298" s="149"/>
      <c r="K298" s="306" t="s">
        <v>6</v>
      </c>
      <c r="L298" s="306"/>
      <c r="M298" s="154">
        <f>พกส.!L121</f>
        <v>0</v>
      </c>
      <c r="N298" s="154"/>
      <c r="O298" s="155"/>
      <c r="P298" s="189" t="s">
        <v>56</v>
      </c>
      <c r="Q298" s="156">
        <f>พกส.!U37</f>
        <v>0</v>
      </c>
      <c r="R298" s="152"/>
    </row>
    <row r="299" spans="1:18" ht="17.100000000000001" customHeight="1" x14ac:dyDescent="0.2">
      <c r="A299" s="149"/>
      <c r="B299" s="150" t="s">
        <v>7</v>
      </c>
      <c r="C299" s="150"/>
      <c r="D299" s="154">
        <v>0</v>
      </c>
      <c r="E299" s="154"/>
      <c r="F299" s="155"/>
      <c r="G299" s="189" t="s">
        <v>57</v>
      </c>
      <c r="H299" s="154"/>
      <c r="I299" s="152"/>
      <c r="J299" s="149"/>
      <c r="K299" s="150" t="s">
        <v>7</v>
      </c>
      <c r="L299" s="150"/>
      <c r="M299" s="154">
        <v>0</v>
      </c>
      <c r="N299" s="154"/>
      <c r="O299" s="155"/>
      <c r="P299" s="189" t="s">
        <v>57</v>
      </c>
      <c r="Q299" s="156">
        <f>พกส.!V37</f>
        <v>0</v>
      </c>
      <c r="R299" s="152"/>
    </row>
    <row r="300" spans="1:18" ht="17.100000000000001" customHeight="1" x14ac:dyDescent="0.2">
      <c r="A300" s="149"/>
      <c r="B300" s="307" t="s">
        <v>101</v>
      </c>
      <c r="C300" s="307"/>
      <c r="D300" s="154">
        <f>SUM(D291:D299)</f>
        <v>0</v>
      </c>
      <c r="E300" s="154"/>
      <c r="F300" s="157"/>
      <c r="G300" s="147" t="s">
        <v>102</v>
      </c>
      <c r="H300" s="157">
        <f>SUM(H291:H299)</f>
        <v>0</v>
      </c>
      <c r="I300" s="152"/>
      <c r="J300" s="149"/>
      <c r="K300" s="307" t="s">
        <v>101</v>
      </c>
      <c r="L300" s="307"/>
      <c r="M300" s="154">
        <f>SUM(M291:M299)</f>
        <v>0</v>
      </c>
      <c r="N300" s="154"/>
      <c r="O300" s="157"/>
      <c r="P300" s="147" t="s">
        <v>102</v>
      </c>
      <c r="Q300" s="157">
        <f>SUM(Q291:Q299)</f>
        <v>0</v>
      </c>
      <c r="R300" s="152"/>
    </row>
    <row r="301" spans="1:18" ht="17.100000000000001" customHeight="1" x14ac:dyDescent="0.2">
      <c r="A301" s="149"/>
      <c r="B301" s="150"/>
      <c r="C301" s="147" t="s">
        <v>103</v>
      </c>
      <c r="D301" s="157">
        <f>D300-H300</f>
        <v>0</v>
      </c>
      <c r="E301" s="157"/>
      <c r="F301" s="158" t="s">
        <v>104</v>
      </c>
      <c r="H301" s="150"/>
      <c r="I301" s="152"/>
      <c r="J301" s="149"/>
      <c r="K301" s="150"/>
      <c r="L301" s="147" t="s">
        <v>103</v>
      </c>
      <c r="M301" s="157">
        <f>M300-Q300</f>
        <v>0</v>
      </c>
      <c r="N301" s="157"/>
      <c r="O301" s="158" t="s">
        <v>104</v>
      </c>
      <c r="Q301" s="150"/>
      <c r="R301" s="152"/>
    </row>
    <row r="302" spans="1:18" ht="17.100000000000001" customHeight="1" x14ac:dyDescent="0.2">
      <c r="A302" s="149"/>
      <c r="C302" s="307" t="str">
        <f>"("&amp;BAHTTEXT(D301)&amp;")"</f>
        <v>(ศูนย์บาทถ้วน)</v>
      </c>
      <c r="D302" s="307"/>
      <c r="E302" s="307"/>
      <c r="F302" s="307"/>
      <c r="G302" s="307"/>
      <c r="I302" s="152"/>
      <c r="J302" s="149"/>
      <c r="L302" s="307" t="str">
        <f>"("&amp;BAHTTEXT(M301)&amp;")"</f>
        <v>(ศูนย์บาทถ้วน)</v>
      </c>
      <c r="M302" s="307"/>
      <c r="N302" s="307"/>
      <c r="O302" s="307"/>
      <c r="P302" s="307"/>
      <c r="R302" s="152"/>
    </row>
    <row r="303" spans="1:18" ht="17.100000000000001" customHeight="1" x14ac:dyDescent="0.2">
      <c r="A303" s="149"/>
      <c r="C303" s="147"/>
      <c r="D303" s="147"/>
      <c r="E303" s="147"/>
      <c r="F303" s="147"/>
      <c r="G303" s="147"/>
      <c r="I303" s="152"/>
      <c r="J303" s="149"/>
      <c r="L303" s="147"/>
      <c r="M303" s="147"/>
      <c r="N303" s="147"/>
      <c r="O303" s="147"/>
      <c r="P303" s="147"/>
      <c r="R303" s="152"/>
    </row>
    <row r="304" spans="1:18" ht="17.100000000000001" customHeight="1" x14ac:dyDescent="0.2">
      <c r="A304" s="149"/>
      <c r="C304" s="147"/>
      <c r="D304" s="147"/>
      <c r="E304" s="147"/>
      <c r="F304" s="147"/>
      <c r="G304" s="147"/>
      <c r="I304" s="152"/>
      <c r="J304" s="149"/>
      <c r="L304" s="147"/>
      <c r="M304" s="147"/>
      <c r="N304" s="147"/>
      <c r="O304" s="147"/>
      <c r="P304" s="147"/>
      <c r="R304" s="152"/>
    </row>
    <row r="305" spans="1:18" ht="17.100000000000001" customHeight="1" x14ac:dyDescent="0.2">
      <c r="A305" s="149"/>
      <c r="I305" s="152"/>
      <c r="J305" s="149"/>
      <c r="R305" s="152"/>
    </row>
    <row r="306" spans="1:18" ht="17.100000000000001" customHeight="1" x14ac:dyDescent="0.2">
      <c r="A306" s="149"/>
      <c r="I306" s="152"/>
      <c r="J306" s="149"/>
      <c r="R306" s="152"/>
    </row>
    <row r="307" spans="1:18" ht="17.100000000000001" customHeight="1" x14ac:dyDescent="0.2">
      <c r="A307" s="308" t="s">
        <v>315</v>
      </c>
      <c r="B307" s="307"/>
      <c r="C307" s="307"/>
      <c r="D307" s="307"/>
      <c r="E307" s="307"/>
      <c r="F307" s="307"/>
      <c r="G307" s="307"/>
      <c r="H307" s="307"/>
      <c r="I307" s="309"/>
      <c r="J307" s="308" t="s">
        <v>315</v>
      </c>
      <c r="K307" s="307"/>
      <c r="L307" s="307"/>
      <c r="M307" s="307"/>
      <c r="N307" s="307"/>
      <c r="O307" s="307"/>
      <c r="P307" s="307"/>
      <c r="Q307" s="307"/>
      <c r="R307" s="309"/>
    </row>
    <row r="308" spans="1:18" ht="17.100000000000001" customHeight="1" x14ac:dyDescent="0.2">
      <c r="A308" s="310" t="s">
        <v>298</v>
      </c>
      <c r="B308" s="311"/>
      <c r="C308" s="311"/>
      <c r="D308" s="311"/>
      <c r="E308" s="311"/>
      <c r="F308" s="311"/>
      <c r="G308" s="311"/>
      <c r="H308" s="311"/>
      <c r="I308" s="312"/>
      <c r="J308" s="310" t="s">
        <v>298</v>
      </c>
      <c r="K308" s="311"/>
      <c r="L308" s="311"/>
      <c r="M308" s="311"/>
      <c r="N308" s="311"/>
      <c r="O308" s="311"/>
      <c r="P308" s="311"/>
      <c r="Q308" s="311"/>
      <c r="R308" s="312"/>
    </row>
  </sheetData>
  <mergeCells count="430">
    <mergeCell ref="B296:C296"/>
    <mergeCell ref="A265:I265"/>
    <mergeCell ref="B268:D268"/>
    <mergeCell ref="G268:H268"/>
    <mergeCell ref="B272:C272"/>
    <mergeCell ref="B270:C270"/>
    <mergeCell ref="B271:C271"/>
    <mergeCell ref="B269:C269"/>
    <mergeCell ref="B275:C275"/>
    <mergeCell ref="B273:C273"/>
    <mergeCell ref="B274:C274"/>
    <mergeCell ref="B294:C294"/>
    <mergeCell ref="A288:I288"/>
    <mergeCell ref="A285:I285"/>
    <mergeCell ref="C280:G280"/>
    <mergeCell ref="K145:L145"/>
    <mergeCell ref="K146:L146"/>
    <mergeCell ref="L148:P148"/>
    <mergeCell ref="K142:L142"/>
    <mergeCell ref="J156:R156"/>
    <mergeCell ref="J178:R178"/>
    <mergeCell ref="J177:R177"/>
    <mergeCell ref="A264:I264"/>
    <mergeCell ref="B255:C255"/>
    <mergeCell ref="B256:C256"/>
    <mergeCell ref="C258:G258"/>
    <mergeCell ref="B254:C254"/>
    <mergeCell ref="A263:I263"/>
    <mergeCell ref="L192:P192"/>
    <mergeCell ref="K163:L163"/>
    <mergeCell ref="K161:L161"/>
    <mergeCell ref="K166:L166"/>
    <mergeCell ref="J176:R176"/>
    <mergeCell ref="J175:R175"/>
    <mergeCell ref="J197:R197"/>
    <mergeCell ref="J198:R198"/>
    <mergeCell ref="J199:R199"/>
    <mergeCell ref="B205:C205"/>
    <mergeCell ref="B206:C206"/>
    <mergeCell ref="B207:C207"/>
    <mergeCell ref="A219:I219"/>
    <mergeCell ref="A220:I220"/>
    <mergeCell ref="B226:C226"/>
    <mergeCell ref="A199:I199"/>
    <mergeCell ref="B204:C204"/>
    <mergeCell ref="B202:D202"/>
    <mergeCell ref="B210:C210"/>
    <mergeCell ref="B208:C208"/>
    <mergeCell ref="G224:H224"/>
    <mergeCell ref="C214:G214"/>
    <mergeCell ref="K114:M114"/>
    <mergeCell ref="P114:Q114"/>
    <mergeCell ref="B253:C253"/>
    <mergeCell ref="B250:C250"/>
    <mergeCell ref="B251:C251"/>
    <mergeCell ref="B252:C252"/>
    <mergeCell ref="J154:R154"/>
    <mergeCell ref="K137:L137"/>
    <mergeCell ref="K143:L143"/>
    <mergeCell ref="K144:L144"/>
    <mergeCell ref="J153:R153"/>
    <mergeCell ref="K184:L184"/>
    <mergeCell ref="K185:L185"/>
    <mergeCell ref="K186:L186"/>
    <mergeCell ref="K187:L187"/>
    <mergeCell ref="K180:M180"/>
    <mergeCell ref="K183:L183"/>
    <mergeCell ref="L170:P170"/>
    <mergeCell ref="K158:M158"/>
    <mergeCell ref="J155:R155"/>
    <mergeCell ref="K168:L168"/>
    <mergeCell ref="K162:L162"/>
    <mergeCell ref="K165:L165"/>
    <mergeCell ref="K164:L164"/>
    <mergeCell ref="K138:L138"/>
    <mergeCell ref="K139:L139"/>
    <mergeCell ref="K140:L140"/>
    <mergeCell ref="K141:L141"/>
    <mergeCell ref="J132:R132"/>
    <mergeCell ref="J133:R133"/>
    <mergeCell ref="K123:L123"/>
    <mergeCell ref="K124:L124"/>
    <mergeCell ref="L126:P126"/>
    <mergeCell ref="J134:R134"/>
    <mergeCell ref="K136:M136"/>
    <mergeCell ref="P136:Q136"/>
    <mergeCell ref="K70:M70"/>
    <mergeCell ref="K72:L72"/>
    <mergeCell ref="J89:R89"/>
    <mergeCell ref="K78:L78"/>
    <mergeCell ref="J88:R88"/>
    <mergeCell ref="J87:R87"/>
    <mergeCell ref="K79:L79"/>
    <mergeCell ref="K80:L80"/>
    <mergeCell ref="L82:P82"/>
    <mergeCell ref="K77:L77"/>
    <mergeCell ref="K74:L74"/>
    <mergeCell ref="K75:L75"/>
    <mergeCell ref="K71:L71"/>
    <mergeCell ref="P70:Q70"/>
    <mergeCell ref="K73:L73"/>
    <mergeCell ref="K53:L53"/>
    <mergeCell ref="K58:L58"/>
    <mergeCell ref="J44:R44"/>
    <mergeCell ref="J2:R2"/>
    <mergeCell ref="L60:P60"/>
    <mergeCell ref="J65:R65"/>
    <mergeCell ref="K36:L36"/>
    <mergeCell ref="J24:R24"/>
    <mergeCell ref="L38:P38"/>
    <mergeCell ref="J45:R45"/>
    <mergeCell ref="J43:R43"/>
    <mergeCell ref="K31:L31"/>
    <mergeCell ref="K32:L32"/>
    <mergeCell ref="K26:M26"/>
    <mergeCell ref="K29:L29"/>
    <mergeCell ref="K7:L7"/>
    <mergeCell ref="K8:L8"/>
    <mergeCell ref="K9:L9"/>
    <mergeCell ref="K10:L10"/>
    <mergeCell ref="K11:L11"/>
    <mergeCell ref="K14:L14"/>
    <mergeCell ref="B145:C145"/>
    <mergeCell ref="B121:C121"/>
    <mergeCell ref="B122:C122"/>
    <mergeCell ref="B123:C123"/>
    <mergeCell ref="B124:C124"/>
    <mergeCell ref="B118:C118"/>
    <mergeCell ref="K117:L117"/>
    <mergeCell ref="K33:L33"/>
    <mergeCell ref="A243:I243"/>
    <mergeCell ref="B115:C115"/>
    <mergeCell ref="K101:L101"/>
    <mergeCell ref="K102:L102"/>
    <mergeCell ref="L104:P104"/>
    <mergeCell ref="K99:L99"/>
    <mergeCell ref="J46:R46"/>
    <mergeCell ref="J68:R68"/>
    <mergeCell ref="K54:L54"/>
    <mergeCell ref="K76:L76"/>
    <mergeCell ref="K98:L98"/>
    <mergeCell ref="K55:L55"/>
    <mergeCell ref="K100:L100"/>
    <mergeCell ref="K96:L96"/>
    <mergeCell ref="K97:L97"/>
    <mergeCell ref="P92:Q92"/>
    <mergeCell ref="C126:G126"/>
    <mergeCell ref="A131:I131"/>
    <mergeCell ref="A132:I132"/>
    <mergeCell ref="A111:I111"/>
    <mergeCell ref="A90:I90"/>
    <mergeCell ref="B114:D114"/>
    <mergeCell ref="G114:H114"/>
    <mergeCell ref="K95:L95"/>
    <mergeCell ref="K92:M92"/>
    <mergeCell ref="K93:L93"/>
    <mergeCell ref="K94:L94"/>
    <mergeCell ref="J131:R131"/>
    <mergeCell ref="J90:R90"/>
    <mergeCell ref="K118:L118"/>
    <mergeCell ref="K115:L115"/>
    <mergeCell ref="K116:L116"/>
    <mergeCell ref="K119:L119"/>
    <mergeCell ref="K121:L121"/>
    <mergeCell ref="K122:L122"/>
    <mergeCell ref="J112:R112"/>
    <mergeCell ref="K120:L120"/>
    <mergeCell ref="J111:R111"/>
    <mergeCell ref="J109:R109"/>
    <mergeCell ref="J110:R110"/>
    <mergeCell ref="J67:R67"/>
    <mergeCell ref="K51:L51"/>
    <mergeCell ref="K48:M48"/>
    <mergeCell ref="K56:L56"/>
    <mergeCell ref="J66:R66"/>
    <mergeCell ref="K52:L52"/>
    <mergeCell ref="J1:R1"/>
    <mergeCell ref="A222:I222"/>
    <mergeCell ref="K4:M4"/>
    <mergeCell ref="B161:C161"/>
    <mergeCell ref="B162:C162"/>
    <mergeCell ref="C148:G148"/>
    <mergeCell ref="A153:I153"/>
    <mergeCell ref="A154:I154"/>
    <mergeCell ref="A155:I155"/>
    <mergeCell ref="A134:I134"/>
    <mergeCell ref="B158:D158"/>
    <mergeCell ref="G158:H158"/>
    <mergeCell ref="B159:C159"/>
    <mergeCell ref="B160:C160"/>
    <mergeCell ref="B119:C119"/>
    <mergeCell ref="L16:P16"/>
    <mergeCell ref="J21:R21"/>
    <mergeCell ref="J22:R22"/>
    <mergeCell ref="B137:C137"/>
    <mergeCell ref="B138:C138"/>
    <mergeCell ref="J23:R23"/>
    <mergeCell ref="K30:L30"/>
    <mergeCell ref="B227:C227"/>
    <mergeCell ref="G180:H180"/>
    <mergeCell ref="A221:I221"/>
    <mergeCell ref="B203:C203"/>
    <mergeCell ref="A266:I266"/>
    <mergeCell ref="J244:R244"/>
    <mergeCell ref="K190:L190"/>
    <mergeCell ref="K188:L188"/>
    <mergeCell ref="K189:L189"/>
    <mergeCell ref="B247:C247"/>
    <mergeCell ref="B248:C248"/>
    <mergeCell ref="B249:C249"/>
    <mergeCell ref="G202:H202"/>
    <mergeCell ref="B232:C232"/>
    <mergeCell ref="B234:C234"/>
    <mergeCell ref="B233:C233"/>
    <mergeCell ref="B225:C225"/>
    <mergeCell ref="B209:C209"/>
    <mergeCell ref="B212:C212"/>
    <mergeCell ref="B211:C211"/>
    <mergeCell ref="B180:D180"/>
    <mergeCell ref="A244:I244"/>
    <mergeCell ref="A198:I198"/>
    <mergeCell ref="A133:I133"/>
    <mergeCell ref="A112:I112"/>
    <mergeCell ref="B136:D136"/>
    <mergeCell ref="G136:H136"/>
    <mergeCell ref="B300:C300"/>
    <mergeCell ref="B163:C163"/>
    <mergeCell ref="B164:C164"/>
    <mergeCell ref="B165:C165"/>
    <mergeCell ref="B166:C166"/>
    <mergeCell ref="B276:C276"/>
    <mergeCell ref="B298:C298"/>
    <mergeCell ref="B297:C297"/>
    <mergeCell ref="B224:D224"/>
    <mergeCell ref="A242:I242"/>
    <mergeCell ref="A241:I241"/>
    <mergeCell ref="G246:H246"/>
    <mergeCell ref="C236:G236"/>
    <mergeCell ref="B231:C231"/>
    <mergeCell ref="B229:C229"/>
    <mergeCell ref="B228:C228"/>
    <mergeCell ref="B230:C230"/>
    <mergeCell ref="A156:I156"/>
    <mergeCell ref="B246:D246"/>
    <mergeCell ref="A178:I178"/>
    <mergeCell ref="B56:C56"/>
    <mergeCell ref="B120:C120"/>
    <mergeCell ref="B139:C139"/>
    <mergeCell ref="B140:C140"/>
    <mergeCell ref="B141:C141"/>
    <mergeCell ref="B142:C142"/>
    <mergeCell ref="B143:C143"/>
    <mergeCell ref="B144:C144"/>
    <mergeCell ref="A197:I197"/>
    <mergeCell ref="B189:C189"/>
    <mergeCell ref="B188:C188"/>
    <mergeCell ref="A175:I175"/>
    <mergeCell ref="A176:I176"/>
    <mergeCell ref="A177:I177"/>
    <mergeCell ref="B181:C181"/>
    <mergeCell ref="B182:C182"/>
    <mergeCell ref="B186:C186"/>
    <mergeCell ref="B184:C184"/>
    <mergeCell ref="B185:C185"/>
    <mergeCell ref="B187:C187"/>
    <mergeCell ref="B183:C183"/>
    <mergeCell ref="B190:C190"/>
    <mergeCell ref="B116:C116"/>
    <mergeCell ref="B117:C117"/>
    <mergeCell ref="B54:C54"/>
    <mergeCell ref="B36:C36"/>
    <mergeCell ref="B295:C295"/>
    <mergeCell ref="A286:I286"/>
    <mergeCell ref="A45:I45"/>
    <mergeCell ref="A46:I46"/>
    <mergeCell ref="B48:D48"/>
    <mergeCell ref="G48:H48"/>
    <mergeCell ref="C38:G38"/>
    <mergeCell ref="A43:I43"/>
    <mergeCell ref="A44:I44"/>
    <mergeCell ref="C60:G60"/>
    <mergeCell ref="A65:I65"/>
    <mergeCell ref="B95:C95"/>
    <mergeCell ref="B92:D92"/>
    <mergeCell ref="A66:I66"/>
    <mergeCell ref="A67:I67"/>
    <mergeCell ref="B70:D70"/>
    <mergeCell ref="B146:C146"/>
    <mergeCell ref="B278:C278"/>
    <mergeCell ref="B277:C277"/>
    <mergeCell ref="A88:I88"/>
    <mergeCell ref="C82:G82"/>
    <mergeCell ref="B75:C75"/>
    <mergeCell ref="B76:C76"/>
    <mergeCell ref="B77:C77"/>
    <mergeCell ref="B78:C78"/>
    <mergeCell ref="B79:C79"/>
    <mergeCell ref="B80:C80"/>
    <mergeCell ref="B72:C72"/>
    <mergeCell ref="B73:C73"/>
    <mergeCell ref="C302:G302"/>
    <mergeCell ref="A307:I307"/>
    <mergeCell ref="A308:I308"/>
    <mergeCell ref="A109:I109"/>
    <mergeCell ref="G70:H70"/>
    <mergeCell ref="B71:C71"/>
    <mergeCell ref="A110:I110"/>
    <mergeCell ref="B97:C97"/>
    <mergeCell ref="B98:C98"/>
    <mergeCell ref="C104:G104"/>
    <mergeCell ref="B99:C99"/>
    <mergeCell ref="B100:C100"/>
    <mergeCell ref="B101:C101"/>
    <mergeCell ref="B102:C102"/>
    <mergeCell ref="G92:H92"/>
    <mergeCell ref="A287:I287"/>
    <mergeCell ref="A200:I200"/>
    <mergeCell ref="B290:D290"/>
    <mergeCell ref="B293:C293"/>
    <mergeCell ref="A89:I89"/>
    <mergeCell ref="B167:C167"/>
    <mergeCell ref="B168:C168"/>
    <mergeCell ref="C192:G192"/>
    <mergeCell ref="B96:C96"/>
    <mergeCell ref="C170:G170"/>
    <mergeCell ref="C16:G16"/>
    <mergeCell ref="B29:C29"/>
    <mergeCell ref="A24:I24"/>
    <mergeCell ref="B26:D26"/>
    <mergeCell ref="G26:H26"/>
    <mergeCell ref="B30:C30"/>
    <mergeCell ref="B31:C31"/>
    <mergeCell ref="B27:C27"/>
    <mergeCell ref="B28:C28"/>
    <mergeCell ref="B74:C74"/>
    <mergeCell ref="B32:C32"/>
    <mergeCell ref="B55:C55"/>
    <mergeCell ref="A68:I68"/>
    <mergeCell ref="B93:C93"/>
    <mergeCell ref="B94:C94"/>
    <mergeCell ref="B52:C52"/>
    <mergeCell ref="B53:C53"/>
    <mergeCell ref="B49:C49"/>
    <mergeCell ref="B50:C50"/>
    <mergeCell ref="B51:C51"/>
    <mergeCell ref="B57:C57"/>
    <mergeCell ref="B58:C58"/>
    <mergeCell ref="A87:I87"/>
    <mergeCell ref="K228:L228"/>
    <mergeCell ref="K229:L229"/>
    <mergeCell ref="K230:L230"/>
    <mergeCell ref="K231:L231"/>
    <mergeCell ref="K232:L232"/>
    <mergeCell ref="A1:I1"/>
    <mergeCell ref="A2:I2"/>
    <mergeCell ref="B11:C11"/>
    <mergeCell ref="B6:C6"/>
    <mergeCell ref="B7:C7"/>
    <mergeCell ref="B8:C8"/>
    <mergeCell ref="B9:C9"/>
    <mergeCell ref="B10:C10"/>
    <mergeCell ref="B4:D4"/>
    <mergeCell ref="G4:H4"/>
    <mergeCell ref="B5:C5"/>
    <mergeCell ref="B33:C33"/>
    <mergeCell ref="B34:C34"/>
    <mergeCell ref="B35:C35"/>
    <mergeCell ref="A21:I21"/>
    <mergeCell ref="A22:I22"/>
    <mergeCell ref="A23:I23"/>
    <mergeCell ref="B13:C13"/>
    <mergeCell ref="B14:C14"/>
    <mergeCell ref="K212:L212"/>
    <mergeCell ref="L214:P214"/>
    <mergeCell ref="J219:R219"/>
    <mergeCell ref="J220:R220"/>
    <mergeCell ref="J200:R200"/>
    <mergeCell ref="J221:R221"/>
    <mergeCell ref="K202:M202"/>
    <mergeCell ref="K205:L205"/>
    <mergeCell ref="K206:L206"/>
    <mergeCell ref="K207:L207"/>
    <mergeCell ref="K210:L210"/>
    <mergeCell ref="K208:L208"/>
    <mergeCell ref="K209:L209"/>
    <mergeCell ref="K254:L254"/>
    <mergeCell ref="K256:L256"/>
    <mergeCell ref="L258:P258"/>
    <mergeCell ref="J263:R263"/>
    <mergeCell ref="J264:R264"/>
    <mergeCell ref="J265:R265"/>
    <mergeCell ref="J222:R222"/>
    <mergeCell ref="K297:L297"/>
    <mergeCell ref="K298:L298"/>
    <mergeCell ref="K246:M246"/>
    <mergeCell ref="K249:L249"/>
    <mergeCell ref="K250:L250"/>
    <mergeCell ref="K251:L251"/>
    <mergeCell ref="K252:L252"/>
    <mergeCell ref="K253:L253"/>
    <mergeCell ref="J288:R288"/>
    <mergeCell ref="J266:R266"/>
    <mergeCell ref="K234:L234"/>
    <mergeCell ref="L236:P236"/>
    <mergeCell ref="J241:R241"/>
    <mergeCell ref="J242:R242"/>
    <mergeCell ref="J243:R243"/>
    <mergeCell ref="K224:M224"/>
    <mergeCell ref="K227:L227"/>
    <mergeCell ref="K300:L300"/>
    <mergeCell ref="L302:P302"/>
    <mergeCell ref="J307:R307"/>
    <mergeCell ref="J308:R308"/>
    <mergeCell ref="L280:P280"/>
    <mergeCell ref="J285:R285"/>
    <mergeCell ref="J286:R286"/>
    <mergeCell ref="J287:R287"/>
    <mergeCell ref="K268:M268"/>
    <mergeCell ref="K271:L271"/>
    <mergeCell ref="K272:L272"/>
    <mergeCell ref="K273:L273"/>
    <mergeCell ref="K274:L274"/>
    <mergeCell ref="K275:L275"/>
    <mergeCell ref="K276:L276"/>
    <mergeCell ref="K278:L278"/>
    <mergeCell ref="K296:L296"/>
    <mergeCell ref="K290:M290"/>
    <mergeCell ref="K293:L293"/>
    <mergeCell ref="K294:L294"/>
    <mergeCell ref="K295:L295"/>
  </mergeCells>
  <pageMargins left="0.23622047244094491" right="0" top="0.31496062992125984" bottom="0" header="0" footer="0"/>
  <pageSetup paperSize="1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I66"/>
  <sheetViews>
    <sheetView zoomScale="80" zoomScaleNormal="80" workbookViewId="0">
      <selection activeCell="B9" sqref="B9:C10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9" width="5.625" style="145" customWidth="1"/>
    <col min="10" max="16384" width="9" style="145"/>
  </cols>
  <sheetData>
    <row r="1" spans="1:9" ht="17.100000000000001" customHeight="1" x14ac:dyDescent="0.2">
      <c r="A1" s="313" t="str">
        <f>ขร1!A1</f>
        <v>โรงพยาบาลสามโคก  ประจำเดือน  พฤศจิกายน  2568</v>
      </c>
      <c r="B1" s="314"/>
      <c r="C1" s="314"/>
      <c r="D1" s="314"/>
      <c r="E1" s="314"/>
      <c r="F1" s="314"/>
      <c r="G1" s="314"/>
      <c r="H1" s="314"/>
      <c r="I1" s="315"/>
    </row>
    <row r="2" spans="1:9" ht="17.100000000000001" customHeight="1" x14ac:dyDescent="0.2">
      <c r="A2" s="308" t="s">
        <v>566</v>
      </c>
      <c r="B2" s="307"/>
      <c r="C2" s="307"/>
      <c r="D2" s="307"/>
      <c r="E2" s="307"/>
      <c r="F2" s="307"/>
      <c r="G2" s="307"/>
      <c r="H2" s="307"/>
      <c r="I2" s="309"/>
    </row>
    <row r="3" spans="1:9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</row>
    <row r="4" spans="1:9" ht="17.100000000000001" customHeight="1" x14ac:dyDescent="0.2">
      <c r="A4" s="149"/>
      <c r="B4" s="307" t="s">
        <v>9</v>
      </c>
      <c r="C4" s="307"/>
      <c r="D4" s="307"/>
      <c r="E4" s="147"/>
      <c r="F4" s="147"/>
      <c r="G4" s="307" t="s">
        <v>10</v>
      </c>
      <c r="H4" s="307"/>
      <c r="I4" s="152"/>
    </row>
    <row r="5" spans="1:9" ht="17.100000000000001" customHeight="1" x14ac:dyDescent="0.2">
      <c r="A5" s="170"/>
      <c r="B5" s="306" t="s">
        <v>3</v>
      </c>
      <c r="C5" s="306"/>
      <c r="D5" s="154">
        <f>พกส.!E38</f>
        <v>0</v>
      </c>
      <c r="E5" s="154"/>
      <c r="F5" s="155"/>
      <c r="G5" s="189" t="s">
        <v>116</v>
      </c>
      <c r="H5" s="154">
        <f>พกส.!N38</f>
        <v>0</v>
      </c>
      <c r="I5" s="169"/>
    </row>
    <row r="6" spans="1:9" ht="17.100000000000001" customHeight="1" x14ac:dyDescent="0.2">
      <c r="A6" s="170"/>
      <c r="B6" s="306" t="s">
        <v>106</v>
      </c>
      <c r="C6" s="306"/>
      <c r="D6" s="154">
        <v>0</v>
      </c>
      <c r="E6" s="154"/>
      <c r="F6" s="155"/>
      <c r="G6" s="189" t="s">
        <v>54</v>
      </c>
      <c r="H6" s="154">
        <v>0</v>
      </c>
      <c r="I6" s="169"/>
    </row>
    <row r="7" spans="1:9" ht="17.100000000000001" customHeight="1" x14ac:dyDescent="0.2">
      <c r="A7" s="170"/>
      <c r="B7" s="306" t="s">
        <v>107</v>
      </c>
      <c r="C7" s="306"/>
      <c r="D7" s="154">
        <v>0</v>
      </c>
      <c r="E7" s="154"/>
      <c r="F7" s="155"/>
      <c r="G7" s="189" t="s">
        <v>100</v>
      </c>
      <c r="H7" s="154">
        <v>0</v>
      </c>
      <c r="I7" s="169"/>
    </row>
    <row r="8" spans="1:9" ht="17.100000000000001" customHeight="1" x14ac:dyDescent="0.2">
      <c r="A8" s="170"/>
      <c r="B8" s="306" t="s">
        <v>105</v>
      </c>
      <c r="C8" s="306"/>
      <c r="D8" s="154">
        <v>0</v>
      </c>
      <c r="E8" s="154"/>
      <c r="F8" s="155"/>
      <c r="G8" s="189" t="s">
        <v>55</v>
      </c>
      <c r="H8" s="154">
        <v>0</v>
      </c>
      <c r="I8" s="169"/>
    </row>
    <row r="9" spans="1:9" ht="17.100000000000001" customHeight="1" x14ac:dyDescent="0.2">
      <c r="A9" s="170"/>
      <c r="B9" s="306" t="s">
        <v>661</v>
      </c>
      <c r="C9" s="306"/>
      <c r="D9" s="154">
        <f>พกส.!I38</f>
        <v>0</v>
      </c>
      <c r="E9" s="154"/>
      <c r="F9" s="155"/>
      <c r="G9" s="153" t="s">
        <v>209</v>
      </c>
      <c r="H9" s="156">
        <f>พกส.!Q8</f>
        <v>0</v>
      </c>
      <c r="I9" s="169"/>
    </row>
    <row r="10" spans="1:9" ht="17.100000000000001" customHeight="1" x14ac:dyDescent="0.2">
      <c r="A10" s="170"/>
      <c r="B10" s="306" t="s">
        <v>662</v>
      </c>
      <c r="C10" s="306"/>
      <c r="D10" s="154">
        <f>พกส.!J38</f>
        <v>0</v>
      </c>
      <c r="E10" s="154"/>
      <c r="F10" s="155"/>
      <c r="G10" s="153" t="s">
        <v>137</v>
      </c>
      <c r="H10" s="171">
        <v>0</v>
      </c>
      <c r="I10" s="169"/>
    </row>
    <row r="11" spans="1:9" ht="17.100000000000001" customHeight="1" x14ac:dyDescent="0.2">
      <c r="A11" s="170"/>
      <c r="B11" s="306" t="s">
        <v>136</v>
      </c>
      <c r="C11" s="306"/>
      <c r="D11" s="154">
        <v>0</v>
      </c>
      <c r="E11" s="154"/>
      <c r="F11" s="155"/>
      <c r="G11" s="153" t="s">
        <v>377</v>
      </c>
      <c r="H11" s="172">
        <f>พกส.!T38</f>
        <v>0</v>
      </c>
      <c r="I11" s="169"/>
    </row>
    <row r="12" spans="1:9" ht="17.100000000000001" customHeight="1" x14ac:dyDescent="0.2">
      <c r="A12" s="170"/>
      <c r="B12" s="150" t="s">
        <v>6</v>
      </c>
      <c r="C12" s="150"/>
      <c r="D12" s="154">
        <v>0</v>
      </c>
      <c r="E12" s="154"/>
      <c r="F12" s="155"/>
      <c r="G12" s="189" t="s">
        <v>56</v>
      </c>
      <c r="H12" s="171">
        <f>พกส.!U38</f>
        <v>0</v>
      </c>
      <c r="I12" s="169"/>
    </row>
    <row r="13" spans="1:9" ht="17.100000000000001" customHeight="1" x14ac:dyDescent="0.2">
      <c r="A13" s="170"/>
      <c r="B13" s="306" t="s">
        <v>7</v>
      </c>
      <c r="C13" s="306"/>
      <c r="D13" s="154">
        <v>0</v>
      </c>
      <c r="E13" s="154"/>
      <c r="F13" s="155"/>
      <c r="G13" s="189" t="s">
        <v>57</v>
      </c>
      <c r="H13" s="171">
        <f>พกส.!V38</f>
        <v>0</v>
      </c>
      <c r="I13" s="169"/>
    </row>
    <row r="14" spans="1:9" ht="17.100000000000001" customHeight="1" x14ac:dyDescent="0.2">
      <c r="A14" s="170"/>
      <c r="B14" s="307" t="s">
        <v>117</v>
      </c>
      <c r="C14" s="307"/>
      <c r="D14" s="157">
        <f>SUM(D5:D13)</f>
        <v>0</v>
      </c>
      <c r="E14" s="157"/>
      <c r="F14" s="157"/>
      <c r="G14" s="147" t="s">
        <v>118</v>
      </c>
      <c r="H14" s="157">
        <f>SUM(H5:H13)</f>
        <v>0</v>
      </c>
      <c r="I14" s="169"/>
    </row>
    <row r="15" spans="1:9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</row>
    <row r="16" spans="1:9" ht="17.100000000000001" customHeight="1" x14ac:dyDescent="0.2">
      <c r="A16" s="149"/>
      <c r="B16" s="150"/>
      <c r="C16" s="307" t="str">
        <f>"("&amp;BAHTTEXT(D15)&amp;")"</f>
        <v>(ศูนย์บาทถ้วน)</v>
      </c>
      <c r="D16" s="307"/>
      <c r="E16" s="307"/>
      <c r="F16" s="307"/>
      <c r="G16" s="307"/>
      <c r="H16" s="150"/>
      <c r="I16" s="152"/>
    </row>
    <row r="17" spans="1:9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</row>
    <row r="18" spans="1:9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</row>
    <row r="19" spans="1:9" ht="17.100000000000001" customHeight="1" x14ac:dyDescent="0.2">
      <c r="A19" s="149"/>
      <c r="B19" s="150"/>
      <c r="C19" s="147"/>
      <c r="D19" s="147"/>
      <c r="E19" s="147"/>
      <c r="F19" s="147"/>
      <c r="G19" s="147"/>
      <c r="H19" s="150"/>
      <c r="I19" s="152"/>
    </row>
    <row r="20" spans="1:9" ht="17.100000000000001" customHeight="1" x14ac:dyDescent="0.2">
      <c r="A20" s="149"/>
      <c r="B20" s="150"/>
      <c r="C20" s="150"/>
      <c r="D20" s="150"/>
      <c r="E20" s="150"/>
      <c r="F20" s="150"/>
      <c r="G20" s="150"/>
      <c r="H20" s="150"/>
      <c r="I20" s="152"/>
    </row>
    <row r="21" spans="1:9" ht="17.100000000000001" customHeight="1" x14ac:dyDescent="0.2">
      <c r="A21" s="308" t="s">
        <v>315</v>
      </c>
      <c r="B21" s="307"/>
      <c r="C21" s="307"/>
      <c r="D21" s="307"/>
      <c r="E21" s="307"/>
      <c r="F21" s="307"/>
      <c r="G21" s="307"/>
      <c r="H21" s="307"/>
      <c r="I21" s="309"/>
    </row>
    <row r="22" spans="1:9" ht="17.100000000000001" customHeight="1" x14ac:dyDescent="0.2">
      <c r="A22" s="310" t="s">
        <v>298</v>
      </c>
      <c r="B22" s="311"/>
      <c r="C22" s="311"/>
      <c r="D22" s="311"/>
      <c r="E22" s="311"/>
      <c r="F22" s="311"/>
      <c r="G22" s="311"/>
      <c r="H22" s="311"/>
      <c r="I22" s="312"/>
    </row>
    <row r="23" spans="1:9" ht="17.100000000000001" customHeight="1" x14ac:dyDescent="0.2">
      <c r="A23" s="313" t="str">
        <f>ขร1!A23</f>
        <v>โรงพยาบาลสามโคก  ประจำเดือน  พฤศจิกายน  2568</v>
      </c>
      <c r="B23" s="314"/>
      <c r="C23" s="314"/>
      <c r="D23" s="314"/>
      <c r="E23" s="314"/>
      <c r="F23" s="314"/>
      <c r="G23" s="314"/>
      <c r="H23" s="314"/>
      <c r="I23" s="315"/>
    </row>
    <row r="24" spans="1:9" ht="17.100000000000001" customHeight="1" x14ac:dyDescent="0.2">
      <c r="A24" s="308" t="s">
        <v>435</v>
      </c>
      <c r="B24" s="307"/>
      <c r="C24" s="307"/>
      <c r="D24" s="307"/>
      <c r="E24" s="307"/>
      <c r="F24" s="307"/>
      <c r="G24" s="307"/>
      <c r="H24" s="307"/>
      <c r="I24" s="309"/>
    </row>
    <row r="25" spans="1:9" ht="17.100000000000001" customHeight="1" x14ac:dyDescent="0.2">
      <c r="A25" s="149"/>
      <c r="B25" s="153"/>
      <c r="C25" s="215"/>
      <c r="D25" s="214"/>
      <c r="E25" s="214"/>
      <c r="F25" s="214"/>
      <c r="G25" s="215"/>
      <c r="H25" s="215"/>
      <c r="I25" s="152"/>
    </row>
    <row r="26" spans="1:9" ht="17.100000000000001" customHeight="1" x14ac:dyDescent="0.2">
      <c r="A26" s="149"/>
      <c r="B26" s="307" t="s">
        <v>9</v>
      </c>
      <c r="C26" s="307"/>
      <c r="D26" s="307"/>
      <c r="E26" s="214"/>
      <c r="F26" s="214"/>
      <c r="G26" s="307" t="s">
        <v>10</v>
      </c>
      <c r="H26" s="307"/>
      <c r="I26" s="152"/>
    </row>
    <row r="27" spans="1:9" ht="17.100000000000001" customHeight="1" x14ac:dyDescent="0.2">
      <c r="A27" s="170"/>
      <c r="B27" s="306" t="s">
        <v>3</v>
      </c>
      <c r="C27" s="306"/>
      <c r="D27" s="154">
        <f>พกส.!E39</f>
        <v>0</v>
      </c>
      <c r="E27" s="154"/>
      <c r="F27" s="155"/>
      <c r="G27" s="215" t="s">
        <v>116</v>
      </c>
      <c r="H27" s="154">
        <f>พกส.!N39</f>
        <v>0</v>
      </c>
      <c r="I27" s="169"/>
    </row>
    <row r="28" spans="1:9" ht="17.100000000000001" customHeight="1" x14ac:dyDescent="0.2">
      <c r="A28" s="170"/>
      <c r="B28" s="306" t="s">
        <v>106</v>
      </c>
      <c r="C28" s="306"/>
      <c r="D28" s="154">
        <v>0</v>
      </c>
      <c r="E28" s="154"/>
      <c r="F28" s="155"/>
      <c r="G28" s="215" t="s">
        <v>54</v>
      </c>
      <c r="H28" s="154">
        <v>0</v>
      </c>
      <c r="I28" s="169"/>
    </row>
    <row r="29" spans="1:9" ht="17.100000000000001" customHeight="1" x14ac:dyDescent="0.2">
      <c r="A29" s="170"/>
      <c r="B29" s="306" t="s">
        <v>107</v>
      </c>
      <c r="C29" s="306"/>
      <c r="D29" s="154">
        <v>0</v>
      </c>
      <c r="E29" s="154"/>
      <c r="F29" s="155"/>
      <c r="G29" s="215" t="s">
        <v>100</v>
      </c>
      <c r="H29" s="154">
        <v>0</v>
      </c>
      <c r="I29" s="169"/>
    </row>
    <row r="30" spans="1:9" ht="17.100000000000001" customHeight="1" x14ac:dyDescent="0.2">
      <c r="A30" s="170"/>
      <c r="B30" s="306" t="s">
        <v>105</v>
      </c>
      <c r="C30" s="306"/>
      <c r="D30" s="154">
        <v>0</v>
      </c>
      <c r="E30" s="154"/>
      <c r="F30" s="155"/>
      <c r="G30" s="215" t="s">
        <v>55</v>
      </c>
      <c r="H30" s="154">
        <v>0</v>
      </c>
      <c r="I30" s="169"/>
    </row>
    <row r="31" spans="1:9" ht="17.100000000000001" customHeight="1" x14ac:dyDescent="0.2">
      <c r="A31" s="170"/>
      <c r="B31" s="306" t="s">
        <v>661</v>
      </c>
      <c r="C31" s="306"/>
      <c r="D31" s="154">
        <f>พกส.!I39</f>
        <v>0</v>
      </c>
      <c r="E31" s="154"/>
      <c r="F31" s="155"/>
      <c r="G31" s="153" t="s">
        <v>209</v>
      </c>
      <c r="H31" s="156">
        <f>พกส.!Q30</f>
        <v>0</v>
      </c>
      <c r="I31" s="169"/>
    </row>
    <row r="32" spans="1:9" ht="17.100000000000001" customHeight="1" x14ac:dyDescent="0.2">
      <c r="A32" s="170"/>
      <c r="B32" s="306" t="s">
        <v>662</v>
      </c>
      <c r="C32" s="306"/>
      <c r="D32" s="154">
        <f>พกส.!J39</f>
        <v>0</v>
      </c>
      <c r="E32" s="154"/>
      <c r="F32" s="155"/>
      <c r="G32" s="153" t="s">
        <v>137</v>
      </c>
      <c r="H32" s="171">
        <v>0</v>
      </c>
      <c r="I32" s="169"/>
    </row>
    <row r="33" spans="1:9" ht="17.100000000000001" customHeight="1" x14ac:dyDescent="0.2">
      <c r="A33" s="170"/>
      <c r="B33" s="306" t="s">
        <v>136</v>
      </c>
      <c r="C33" s="306"/>
      <c r="D33" s="154">
        <v>0</v>
      </c>
      <c r="E33" s="154"/>
      <c r="F33" s="155"/>
      <c r="G33" s="153" t="s">
        <v>377</v>
      </c>
      <c r="H33" s="172">
        <f>พกส.!T60</f>
        <v>0</v>
      </c>
      <c r="I33" s="169"/>
    </row>
    <row r="34" spans="1:9" ht="17.100000000000001" customHeight="1" x14ac:dyDescent="0.2">
      <c r="A34" s="170"/>
      <c r="B34" s="215" t="s">
        <v>6</v>
      </c>
      <c r="C34" s="215"/>
      <c r="D34" s="154">
        <v>0</v>
      </c>
      <c r="E34" s="154"/>
      <c r="F34" s="155"/>
      <c r="G34" s="215" t="s">
        <v>56</v>
      </c>
      <c r="H34" s="171">
        <f>พกส.!U39</f>
        <v>0</v>
      </c>
      <c r="I34" s="169"/>
    </row>
    <row r="35" spans="1:9" ht="17.100000000000001" customHeight="1" x14ac:dyDescent="0.2">
      <c r="A35" s="170"/>
      <c r="B35" s="306" t="s">
        <v>7</v>
      </c>
      <c r="C35" s="306"/>
      <c r="D35" s="154">
        <v>0</v>
      </c>
      <c r="E35" s="154"/>
      <c r="F35" s="155"/>
      <c r="G35" s="215" t="s">
        <v>57</v>
      </c>
      <c r="H35" s="171">
        <f>พกส.!V39</f>
        <v>0</v>
      </c>
      <c r="I35" s="169"/>
    </row>
    <row r="36" spans="1:9" ht="17.100000000000001" customHeight="1" x14ac:dyDescent="0.2">
      <c r="A36" s="170"/>
      <c r="B36" s="307" t="s">
        <v>117</v>
      </c>
      <c r="C36" s="307"/>
      <c r="D36" s="157">
        <f>SUM(D27:D35)</f>
        <v>0</v>
      </c>
      <c r="E36" s="157"/>
      <c r="F36" s="157"/>
      <c r="G36" s="214" t="s">
        <v>118</v>
      </c>
      <c r="H36" s="157">
        <f>SUM(H27:H35)</f>
        <v>0</v>
      </c>
      <c r="I36" s="169"/>
    </row>
    <row r="37" spans="1:9" ht="17.100000000000001" customHeight="1" x14ac:dyDescent="0.2">
      <c r="A37" s="149"/>
      <c r="B37" s="215"/>
      <c r="C37" s="214" t="s">
        <v>103</v>
      </c>
      <c r="D37" s="157">
        <f>D36-H36</f>
        <v>0</v>
      </c>
      <c r="E37" s="157"/>
      <c r="F37" s="158" t="s">
        <v>104</v>
      </c>
      <c r="H37" s="215"/>
      <c r="I37" s="152"/>
    </row>
    <row r="38" spans="1:9" ht="17.100000000000001" customHeight="1" x14ac:dyDescent="0.2">
      <c r="A38" s="149"/>
      <c r="B38" s="215"/>
      <c r="C38" s="307" t="str">
        <f>"("&amp;BAHTTEXT(D37)&amp;")"</f>
        <v>(ศูนย์บาทถ้วน)</v>
      </c>
      <c r="D38" s="307"/>
      <c r="E38" s="307"/>
      <c r="F38" s="307"/>
      <c r="G38" s="307"/>
      <c r="H38" s="215"/>
      <c r="I38" s="152"/>
    </row>
    <row r="39" spans="1:9" ht="17.100000000000001" customHeight="1" x14ac:dyDescent="0.2">
      <c r="A39" s="149"/>
      <c r="B39" s="215"/>
      <c r="C39" s="214"/>
      <c r="D39" s="214"/>
      <c r="E39" s="214"/>
      <c r="F39" s="214"/>
      <c r="G39" s="214"/>
      <c r="H39" s="215"/>
      <c r="I39" s="152"/>
    </row>
    <row r="40" spans="1:9" ht="17.100000000000001" customHeight="1" x14ac:dyDescent="0.2">
      <c r="A40" s="149"/>
      <c r="B40" s="215"/>
      <c r="C40" s="214"/>
      <c r="D40" s="214"/>
      <c r="E40" s="214"/>
      <c r="F40" s="214"/>
      <c r="G40" s="214"/>
      <c r="H40" s="215"/>
      <c r="I40" s="152"/>
    </row>
    <row r="41" spans="1:9" ht="17.100000000000001" customHeight="1" x14ac:dyDescent="0.2">
      <c r="A41" s="149"/>
      <c r="B41" s="215"/>
      <c r="C41" s="214"/>
      <c r="D41" s="214"/>
      <c r="E41" s="214"/>
      <c r="F41" s="214"/>
      <c r="G41" s="214"/>
      <c r="H41" s="215"/>
      <c r="I41" s="152"/>
    </row>
    <row r="42" spans="1:9" ht="17.100000000000001" customHeight="1" x14ac:dyDescent="0.2">
      <c r="A42" s="149"/>
      <c r="B42" s="215"/>
      <c r="C42" s="215"/>
      <c r="D42" s="215"/>
      <c r="E42" s="215"/>
      <c r="F42" s="215"/>
      <c r="G42" s="215"/>
      <c r="H42" s="215"/>
      <c r="I42" s="152"/>
    </row>
    <row r="43" spans="1:9" ht="17.100000000000001" customHeight="1" x14ac:dyDescent="0.2">
      <c r="A43" s="308" t="s">
        <v>315</v>
      </c>
      <c r="B43" s="307"/>
      <c r="C43" s="307"/>
      <c r="D43" s="307"/>
      <c r="E43" s="307"/>
      <c r="F43" s="307"/>
      <c r="G43" s="307"/>
      <c r="H43" s="307"/>
      <c r="I43" s="309"/>
    </row>
    <row r="44" spans="1:9" ht="17.100000000000001" customHeight="1" x14ac:dyDescent="0.2">
      <c r="A44" s="310" t="s">
        <v>298</v>
      </c>
      <c r="B44" s="311"/>
      <c r="C44" s="311"/>
      <c r="D44" s="311"/>
      <c r="E44" s="311"/>
      <c r="F44" s="311"/>
      <c r="G44" s="311"/>
      <c r="H44" s="311"/>
      <c r="I44" s="312"/>
    </row>
    <row r="45" spans="1:9" ht="17.100000000000001" customHeight="1" x14ac:dyDescent="0.2">
      <c r="A45" s="313" t="str">
        <f>ขร1!A45</f>
        <v>โรงพยาบาลสามโคก  ประจำเดือน  พฤศจิกายน  2568</v>
      </c>
      <c r="B45" s="314"/>
      <c r="C45" s="314"/>
      <c r="D45" s="314"/>
      <c r="E45" s="314"/>
      <c r="F45" s="314"/>
      <c r="G45" s="314"/>
      <c r="H45" s="314"/>
      <c r="I45" s="315"/>
    </row>
    <row r="46" spans="1:9" ht="17.100000000000001" customHeight="1" x14ac:dyDescent="0.2">
      <c r="A46" s="308" t="s">
        <v>567</v>
      </c>
      <c r="B46" s="307"/>
      <c r="C46" s="307"/>
      <c r="D46" s="307"/>
      <c r="E46" s="307"/>
      <c r="F46" s="307"/>
      <c r="G46" s="307"/>
      <c r="H46" s="307"/>
      <c r="I46" s="309"/>
    </row>
    <row r="47" spans="1:9" ht="17.100000000000001" customHeight="1" x14ac:dyDescent="0.2">
      <c r="A47" s="149"/>
      <c r="B47" s="153"/>
      <c r="C47" s="215"/>
      <c r="D47" s="214"/>
      <c r="E47" s="214"/>
      <c r="F47" s="214"/>
      <c r="G47" s="215"/>
      <c r="H47" s="215"/>
      <c r="I47" s="152"/>
    </row>
    <row r="48" spans="1:9" ht="17.100000000000001" customHeight="1" x14ac:dyDescent="0.2">
      <c r="A48" s="149"/>
      <c r="B48" s="307" t="s">
        <v>9</v>
      </c>
      <c r="C48" s="307"/>
      <c r="D48" s="307"/>
      <c r="E48" s="214"/>
      <c r="F48" s="214"/>
      <c r="G48" s="307" t="s">
        <v>10</v>
      </c>
      <c r="H48" s="307"/>
      <c r="I48" s="152"/>
    </row>
    <row r="49" spans="1:9" ht="17.100000000000001" customHeight="1" x14ac:dyDescent="0.2">
      <c r="A49" s="170"/>
      <c r="B49" s="306" t="s">
        <v>3</v>
      </c>
      <c r="C49" s="306"/>
      <c r="D49" s="154">
        <f>พกส.!E40</f>
        <v>0</v>
      </c>
      <c r="E49" s="154"/>
      <c r="F49" s="155"/>
      <c r="G49" s="215" t="s">
        <v>116</v>
      </c>
      <c r="H49" s="154">
        <f>พกส.!N40</f>
        <v>0</v>
      </c>
      <c r="I49" s="169"/>
    </row>
    <row r="50" spans="1:9" ht="17.100000000000001" customHeight="1" x14ac:dyDescent="0.2">
      <c r="A50" s="170"/>
      <c r="B50" s="306" t="s">
        <v>106</v>
      </c>
      <c r="C50" s="306"/>
      <c r="D50" s="154">
        <v>0</v>
      </c>
      <c r="E50" s="154"/>
      <c r="F50" s="155"/>
      <c r="G50" s="215" t="s">
        <v>54</v>
      </c>
      <c r="H50" s="154">
        <v>0</v>
      </c>
      <c r="I50" s="169"/>
    </row>
    <row r="51" spans="1:9" ht="17.100000000000001" customHeight="1" x14ac:dyDescent="0.2">
      <c r="A51" s="170"/>
      <c r="B51" s="306" t="s">
        <v>107</v>
      </c>
      <c r="C51" s="306"/>
      <c r="D51" s="154">
        <v>0</v>
      </c>
      <c r="E51" s="154"/>
      <c r="F51" s="155"/>
      <c r="G51" s="215" t="s">
        <v>100</v>
      </c>
      <c r="H51" s="154">
        <v>0</v>
      </c>
      <c r="I51" s="169"/>
    </row>
    <row r="52" spans="1:9" ht="17.100000000000001" customHeight="1" x14ac:dyDescent="0.2">
      <c r="A52" s="170"/>
      <c r="B52" s="306" t="s">
        <v>105</v>
      </c>
      <c r="C52" s="306"/>
      <c r="D52" s="154">
        <v>0</v>
      </c>
      <c r="E52" s="154"/>
      <c r="F52" s="155"/>
      <c r="G52" s="215" t="s">
        <v>55</v>
      </c>
      <c r="H52" s="154">
        <v>0</v>
      </c>
      <c r="I52" s="169"/>
    </row>
    <row r="53" spans="1:9" ht="17.100000000000001" customHeight="1" x14ac:dyDescent="0.2">
      <c r="A53" s="170"/>
      <c r="B53" s="306" t="s">
        <v>661</v>
      </c>
      <c r="C53" s="306"/>
      <c r="D53" s="154">
        <f>พกส.!I40</f>
        <v>0</v>
      </c>
      <c r="E53" s="154"/>
      <c r="F53" s="155"/>
      <c r="G53" s="153" t="s">
        <v>209</v>
      </c>
      <c r="H53" s="156">
        <f>พกส.!Q52</f>
        <v>0</v>
      </c>
      <c r="I53" s="169"/>
    </row>
    <row r="54" spans="1:9" ht="17.100000000000001" customHeight="1" x14ac:dyDescent="0.2">
      <c r="A54" s="170"/>
      <c r="B54" s="306" t="s">
        <v>662</v>
      </c>
      <c r="C54" s="306"/>
      <c r="D54" s="154">
        <f>พกส.!J40</f>
        <v>0</v>
      </c>
      <c r="E54" s="154"/>
      <c r="F54" s="155"/>
      <c r="G54" s="153" t="s">
        <v>137</v>
      </c>
      <c r="H54" s="171">
        <v>0</v>
      </c>
      <c r="I54" s="169"/>
    </row>
    <row r="55" spans="1:9" ht="17.100000000000001" customHeight="1" x14ac:dyDescent="0.2">
      <c r="A55" s="170"/>
      <c r="B55" s="306" t="s">
        <v>136</v>
      </c>
      <c r="C55" s="306"/>
      <c r="D55" s="154">
        <v>0</v>
      </c>
      <c r="E55" s="154"/>
      <c r="F55" s="155"/>
      <c r="G55" s="153" t="s">
        <v>377</v>
      </c>
      <c r="H55" s="172">
        <f>พกส.!T82</f>
        <v>0</v>
      </c>
      <c r="I55" s="169"/>
    </row>
    <row r="56" spans="1:9" ht="17.100000000000001" customHeight="1" x14ac:dyDescent="0.2">
      <c r="A56" s="170"/>
      <c r="B56" s="215" t="s">
        <v>6</v>
      </c>
      <c r="C56" s="215"/>
      <c r="D56" s="154">
        <v>0</v>
      </c>
      <c r="E56" s="154"/>
      <c r="F56" s="155"/>
      <c r="G56" s="215" t="s">
        <v>56</v>
      </c>
      <c r="H56" s="171">
        <f>พกส.!U40</f>
        <v>0</v>
      </c>
      <c r="I56" s="169"/>
    </row>
    <row r="57" spans="1:9" ht="17.100000000000001" customHeight="1" x14ac:dyDescent="0.2">
      <c r="A57" s="170"/>
      <c r="B57" s="306" t="s">
        <v>7</v>
      </c>
      <c r="C57" s="306"/>
      <c r="D57" s="154">
        <v>0</v>
      </c>
      <c r="E57" s="154"/>
      <c r="F57" s="155"/>
      <c r="G57" s="215" t="s">
        <v>57</v>
      </c>
      <c r="H57" s="171">
        <f>พกส.!V40</f>
        <v>0</v>
      </c>
      <c r="I57" s="169"/>
    </row>
    <row r="58" spans="1:9" ht="17.100000000000001" customHeight="1" x14ac:dyDescent="0.2">
      <c r="A58" s="170"/>
      <c r="B58" s="307" t="s">
        <v>117</v>
      </c>
      <c r="C58" s="307"/>
      <c r="D58" s="157">
        <f>SUM(D49:D57)</f>
        <v>0</v>
      </c>
      <c r="E58" s="157"/>
      <c r="F58" s="157"/>
      <c r="G58" s="214" t="s">
        <v>118</v>
      </c>
      <c r="H58" s="157">
        <f>SUM(H49:H57)</f>
        <v>0</v>
      </c>
      <c r="I58" s="169"/>
    </row>
    <row r="59" spans="1:9" ht="17.100000000000001" customHeight="1" x14ac:dyDescent="0.2">
      <c r="A59" s="149"/>
      <c r="B59" s="215"/>
      <c r="C59" s="214" t="s">
        <v>103</v>
      </c>
      <c r="D59" s="157">
        <f>D58-H58</f>
        <v>0</v>
      </c>
      <c r="E59" s="157"/>
      <c r="F59" s="158" t="s">
        <v>104</v>
      </c>
      <c r="H59" s="215"/>
      <c r="I59" s="152"/>
    </row>
    <row r="60" spans="1:9" ht="17.100000000000001" customHeight="1" x14ac:dyDescent="0.2">
      <c r="A60" s="149"/>
      <c r="B60" s="215"/>
      <c r="C60" s="307" t="str">
        <f>"("&amp;BAHTTEXT(D59)&amp;")"</f>
        <v>(ศูนย์บาทถ้วน)</v>
      </c>
      <c r="D60" s="307"/>
      <c r="E60" s="307"/>
      <c r="F60" s="307"/>
      <c r="G60" s="307"/>
      <c r="H60" s="215"/>
      <c r="I60" s="152"/>
    </row>
    <row r="61" spans="1:9" ht="17.100000000000001" customHeight="1" x14ac:dyDescent="0.2">
      <c r="A61" s="149"/>
      <c r="B61" s="215"/>
      <c r="C61" s="214"/>
      <c r="D61" s="214"/>
      <c r="E61" s="214"/>
      <c r="F61" s="214"/>
      <c r="G61" s="214"/>
      <c r="H61" s="215"/>
      <c r="I61" s="152"/>
    </row>
    <row r="62" spans="1:9" ht="17.100000000000001" customHeight="1" x14ac:dyDescent="0.2">
      <c r="A62" s="149"/>
      <c r="B62" s="215"/>
      <c r="C62" s="214"/>
      <c r="D62" s="214"/>
      <c r="E62" s="214"/>
      <c r="F62" s="214"/>
      <c r="G62" s="214"/>
      <c r="H62" s="215"/>
      <c r="I62" s="152"/>
    </row>
    <row r="63" spans="1:9" ht="17.100000000000001" customHeight="1" x14ac:dyDescent="0.2">
      <c r="A63" s="149"/>
      <c r="B63" s="215"/>
      <c r="C63" s="214"/>
      <c r="D63" s="214"/>
      <c r="E63" s="214"/>
      <c r="F63" s="214"/>
      <c r="G63" s="214"/>
      <c r="H63" s="215"/>
      <c r="I63" s="152"/>
    </row>
    <row r="64" spans="1:9" ht="17.100000000000001" customHeight="1" x14ac:dyDescent="0.2">
      <c r="A64" s="149"/>
      <c r="B64" s="215"/>
      <c r="C64" s="215"/>
      <c r="D64" s="215"/>
      <c r="E64" s="215"/>
      <c r="F64" s="215"/>
      <c r="G64" s="215"/>
      <c r="H64" s="215"/>
      <c r="I64" s="152"/>
    </row>
    <row r="65" spans="1:9" ht="17.100000000000001" customHeight="1" x14ac:dyDescent="0.2">
      <c r="A65" s="308" t="s">
        <v>315</v>
      </c>
      <c r="B65" s="307"/>
      <c r="C65" s="307"/>
      <c r="D65" s="307"/>
      <c r="E65" s="307"/>
      <c r="F65" s="307"/>
      <c r="G65" s="307"/>
      <c r="H65" s="307"/>
      <c r="I65" s="309"/>
    </row>
    <row r="66" spans="1:9" ht="17.100000000000001" customHeight="1" x14ac:dyDescent="0.2">
      <c r="A66" s="310" t="s">
        <v>298</v>
      </c>
      <c r="B66" s="311"/>
      <c r="C66" s="311"/>
      <c r="D66" s="311"/>
      <c r="E66" s="311"/>
      <c r="F66" s="311"/>
      <c r="G66" s="311"/>
      <c r="H66" s="311"/>
      <c r="I66" s="312"/>
    </row>
  </sheetData>
  <mergeCells count="48">
    <mergeCell ref="A65:I65"/>
    <mergeCell ref="A66:I66"/>
    <mergeCell ref="A46:I46"/>
    <mergeCell ref="B54:C54"/>
    <mergeCell ref="B55:C55"/>
    <mergeCell ref="B57:C57"/>
    <mergeCell ref="B58:C58"/>
    <mergeCell ref="C60:G60"/>
    <mergeCell ref="B49:C49"/>
    <mergeCell ref="B50:C50"/>
    <mergeCell ref="B51:C51"/>
    <mergeCell ref="B52:C52"/>
    <mergeCell ref="B53:C53"/>
    <mergeCell ref="A44:I44"/>
    <mergeCell ref="A45:I45"/>
    <mergeCell ref="A24:I24"/>
    <mergeCell ref="B48:D48"/>
    <mergeCell ref="G48:H48"/>
    <mergeCell ref="B33:C33"/>
    <mergeCell ref="B35:C35"/>
    <mergeCell ref="B36:C36"/>
    <mergeCell ref="C38:G38"/>
    <mergeCell ref="A43:I43"/>
    <mergeCell ref="B28:C28"/>
    <mergeCell ref="B29:C29"/>
    <mergeCell ref="B30:C30"/>
    <mergeCell ref="B31:C31"/>
    <mergeCell ref="B32:C32"/>
    <mergeCell ref="A23:I23"/>
    <mergeCell ref="A2:I2"/>
    <mergeCell ref="B26:D26"/>
    <mergeCell ref="G26:H26"/>
    <mergeCell ref="B27:C27"/>
    <mergeCell ref="C16:G16"/>
    <mergeCell ref="A21:I21"/>
    <mergeCell ref="A22:I22"/>
    <mergeCell ref="B13:C13"/>
    <mergeCell ref="B14:C14"/>
    <mergeCell ref="B11:C11"/>
    <mergeCell ref="A1:I1"/>
    <mergeCell ref="B4:D4"/>
    <mergeCell ref="G4:H4"/>
    <mergeCell ref="B9:C9"/>
    <mergeCell ref="B10:C10"/>
    <mergeCell ref="B5:C5"/>
    <mergeCell ref="B6:C6"/>
    <mergeCell ref="B7:C7"/>
    <mergeCell ref="B8:C8"/>
  </mergeCells>
  <pageMargins left="0.23622047244094491" right="0" top="0.31496062992125984" bottom="0" header="0" footer="0"/>
  <pageSetup paperSize="1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I396"/>
  <sheetViews>
    <sheetView topLeftCell="A268" zoomScale="80" zoomScaleNormal="80" workbookViewId="0">
      <selection activeCell="B273" sqref="B273:C274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9" width="5.625" style="145" customWidth="1"/>
    <col min="10" max="16384" width="9" style="145"/>
  </cols>
  <sheetData>
    <row r="1" spans="1:9" ht="17.100000000000001" customHeight="1" x14ac:dyDescent="0.2">
      <c r="A1" s="313" t="str">
        <f>พกส.1!A111</f>
        <v>โรงพยาบาลสามโคก  ประจำเดือน  พฤศจิกายน  2568</v>
      </c>
      <c r="B1" s="314"/>
      <c r="C1" s="314"/>
      <c r="D1" s="314"/>
      <c r="E1" s="314"/>
      <c r="F1" s="314"/>
      <c r="G1" s="314"/>
      <c r="H1" s="314"/>
      <c r="I1" s="315"/>
    </row>
    <row r="2" spans="1:9" ht="17.100000000000001" customHeight="1" x14ac:dyDescent="0.2">
      <c r="A2" s="308" t="s">
        <v>388</v>
      </c>
      <c r="B2" s="307"/>
      <c r="C2" s="307"/>
      <c r="D2" s="307"/>
      <c r="E2" s="307"/>
      <c r="F2" s="307"/>
      <c r="G2" s="307"/>
      <c r="H2" s="307"/>
      <c r="I2" s="309"/>
    </row>
    <row r="3" spans="1:9" ht="17.100000000000001" customHeight="1" x14ac:dyDescent="0.2">
      <c r="A3" s="149"/>
      <c r="B3" s="150"/>
      <c r="C3" s="150"/>
      <c r="D3" s="147"/>
      <c r="E3" s="147"/>
      <c r="F3" s="147"/>
      <c r="G3" s="150"/>
      <c r="I3" s="152"/>
    </row>
    <row r="4" spans="1:9" ht="17.100000000000001" customHeight="1" x14ac:dyDescent="0.2">
      <c r="A4" s="149"/>
      <c r="B4" s="307" t="s">
        <v>9</v>
      </c>
      <c r="C4" s="307"/>
      <c r="D4" s="307"/>
      <c r="E4" s="147"/>
      <c r="F4" s="147"/>
      <c r="G4" s="307" t="s">
        <v>10</v>
      </c>
      <c r="H4" s="307"/>
      <c r="I4" s="152"/>
    </row>
    <row r="5" spans="1:9" ht="17.100000000000001" customHeight="1" x14ac:dyDescent="0.2">
      <c r="A5" s="170"/>
      <c r="B5" s="306" t="s">
        <v>3</v>
      </c>
      <c r="C5" s="306"/>
      <c r="D5" s="154">
        <f>รายเดือน!E8</f>
        <v>0</v>
      </c>
      <c r="E5" s="154"/>
      <c r="F5" s="155"/>
      <c r="G5" s="150" t="s">
        <v>99</v>
      </c>
      <c r="H5" s="154">
        <v>0</v>
      </c>
      <c r="I5" s="169"/>
    </row>
    <row r="6" spans="1:9" ht="17.100000000000001" customHeight="1" x14ac:dyDescent="0.2">
      <c r="A6" s="170"/>
      <c r="B6" s="306" t="s">
        <v>106</v>
      </c>
      <c r="C6" s="306"/>
      <c r="D6" s="154">
        <v>0</v>
      </c>
      <c r="E6" s="154"/>
      <c r="F6" s="155"/>
      <c r="G6" s="150" t="s">
        <v>116</v>
      </c>
      <c r="H6" s="154">
        <f>รายเดือน!O8</f>
        <v>0</v>
      </c>
      <c r="I6" s="169"/>
    </row>
    <row r="7" spans="1:9" ht="17.100000000000001" customHeight="1" x14ac:dyDescent="0.2">
      <c r="A7" s="170"/>
      <c r="B7" s="306" t="s">
        <v>107</v>
      </c>
      <c r="C7" s="306"/>
      <c r="D7" s="154">
        <v>0</v>
      </c>
      <c r="E7" s="154"/>
      <c r="F7" s="155"/>
      <c r="G7" s="150" t="s">
        <v>54</v>
      </c>
      <c r="H7" s="154">
        <v>0</v>
      </c>
      <c r="I7" s="169"/>
    </row>
    <row r="8" spans="1:9" ht="17.100000000000001" customHeight="1" x14ac:dyDescent="0.2">
      <c r="A8" s="170"/>
      <c r="B8" s="306" t="s">
        <v>130</v>
      </c>
      <c r="C8" s="306"/>
      <c r="D8" s="154">
        <v>0</v>
      </c>
      <c r="E8" s="154"/>
      <c r="F8" s="155"/>
      <c r="G8" s="150" t="s">
        <v>100</v>
      </c>
      <c r="H8" s="154">
        <v>0</v>
      </c>
      <c r="I8" s="169"/>
    </row>
    <row r="9" spans="1:9" ht="17.100000000000001" customHeight="1" x14ac:dyDescent="0.2">
      <c r="A9" s="170"/>
      <c r="B9" s="306" t="s">
        <v>291</v>
      </c>
      <c r="C9" s="306"/>
      <c r="D9" s="154">
        <f>รายเดือน!I8</f>
        <v>0</v>
      </c>
      <c r="E9" s="154"/>
      <c r="F9" s="155"/>
      <c r="G9" s="150" t="s">
        <v>55</v>
      </c>
      <c r="H9" s="156">
        <v>0</v>
      </c>
      <c r="I9" s="169"/>
    </row>
    <row r="10" spans="1:9" ht="17.100000000000001" customHeight="1" x14ac:dyDescent="0.2">
      <c r="A10" s="170"/>
      <c r="B10" s="306" t="s">
        <v>119</v>
      </c>
      <c r="C10" s="306"/>
      <c r="D10" s="154">
        <f>รายเดือน!J8</f>
        <v>0</v>
      </c>
      <c r="E10" s="154"/>
      <c r="F10" s="155"/>
      <c r="G10" s="150" t="s">
        <v>56</v>
      </c>
      <c r="H10" s="156">
        <v>0</v>
      </c>
      <c r="I10" s="169"/>
    </row>
    <row r="11" spans="1:9" ht="17.100000000000001" customHeight="1" x14ac:dyDescent="0.2">
      <c r="A11" s="170"/>
      <c r="B11" s="306" t="s">
        <v>5</v>
      </c>
      <c r="C11" s="306"/>
      <c r="D11" s="154">
        <f>รายเดือน!K8</f>
        <v>0</v>
      </c>
      <c r="E11" s="154"/>
      <c r="F11" s="155"/>
      <c r="G11" s="150" t="s">
        <v>57</v>
      </c>
      <c r="H11" s="156">
        <v>0</v>
      </c>
      <c r="I11" s="169"/>
    </row>
    <row r="12" spans="1:9" ht="17.100000000000001" customHeight="1" x14ac:dyDescent="0.2">
      <c r="A12" s="170"/>
      <c r="B12" s="306" t="s">
        <v>6</v>
      </c>
      <c r="C12" s="306"/>
      <c r="D12" s="154">
        <v>0</v>
      </c>
      <c r="E12" s="154"/>
      <c r="F12" s="155"/>
      <c r="G12" s="150"/>
      <c r="H12" s="154"/>
      <c r="I12" s="169"/>
    </row>
    <row r="13" spans="1:9" ht="17.100000000000001" customHeight="1" x14ac:dyDescent="0.2">
      <c r="A13" s="170"/>
      <c r="B13" s="306" t="s">
        <v>7</v>
      </c>
      <c r="C13" s="306"/>
      <c r="D13" s="154">
        <v>0</v>
      </c>
      <c r="E13" s="154"/>
      <c r="F13" s="155"/>
      <c r="G13" s="150"/>
      <c r="H13" s="154"/>
      <c r="I13" s="169"/>
    </row>
    <row r="14" spans="1:9" ht="17.100000000000001" customHeight="1" x14ac:dyDescent="0.2">
      <c r="A14" s="170"/>
      <c r="B14" s="307" t="s">
        <v>117</v>
      </c>
      <c r="C14" s="307"/>
      <c r="D14" s="157">
        <f>SUM(D5:D13)</f>
        <v>0</v>
      </c>
      <c r="E14" s="157"/>
      <c r="F14" s="157"/>
      <c r="G14" s="147" t="s">
        <v>118</v>
      </c>
      <c r="H14" s="157">
        <f>SUM(H5:H13)</f>
        <v>0</v>
      </c>
      <c r="I14" s="169"/>
    </row>
    <row r="15" spans="1:9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</row>
    <row r="16" spans="1:9" ht="17.100000000000001" customHeight="1" x14ac:dyDescent="0.2">
      <c r="A16" s="149"/>
      <c r="B16" s="150"/>
      <c r="C16" s="307" t="str">
        <f>"("&amp;BAHTTEXT(D15)&amp;")"</f>
        <v>(ศูนย์บาทถ้วน)</v>
      </c>
      <c r="D16" s="307"/>
      <c r="E16" s="307"/>
      <c r="F16" s="307"/>
      <c r="G16" s="307"/>
      <c r="H16" s="150"/>
      <c r="I16" s="152"/>
    </row>
    <row r="17" spans="1:9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</row>
    <row r="18" spans="1:9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</row>
    <row r="19" spans="1:9" ht="17.100000000000001" customHeight="1" x14ac:dyDescent="0.2">
      <c r="A19" s="149"/>
      <c r="B19" s="150"/>
      <c r="C19" s="150"/>
      <c r="D19" s="150"/>
      <c r="E19" s="150"/>
      <c r="F19" s="150"/>
      <c r="G19" s="150"/>
      <c r="H19" s="150"/>
      <c r="I19" s="152"/>
    </row>
    <row r="20" spans="1:9" ht="17.100000000000001" customHeight="1" x14ac:dyDescent="0.2">
      <c r="A20" s="149"/>
      <c r="B20" s="150"/>
      <c r="C20" s="150"/>
      <c r="D20" s="150"/>
      <c r="E20" s="150"/>
      <c r="F20" s="150"/>
      <c r="G20" s="150"/>
      <c r="H20" s="150"/>
      <c r="I20" s="152"/>
    </row>
    <row r="21" spans="1:9" ht="17.100000000000001" customHeight="1" x14ac:dyDescent="0.2">
      <c r="A21" s="308" t="s">
        <v>315</v>
      </c>
      <c r="B21" s="307"/>
      <c r="C21" s="307"/>
      <c r="D21" s="307"/>
      <c r="E21" s="307"/>
      <c r="F21" s="307"/>
      <c r="G21" s="307"/>
      <c r="H21" s="307"/>
      <c r="I21" s="309"/>
    </row>
    <row r="22" spans="1:9" ht="17.100000000000001" customHeight="1" x14ac:dyDescent="0.2">
      <c r="A22" s="310" t="s">
        <v>298</v>
      </c>
      <c r="B22" s="311"/>
      <c r="C22" s="311"/>
      <c r="D22" s="311"/>
      <c r="E22" s="311"/>
      <c r="F22" s="311"/>
      <c r="G22" s="311"/>
      <c r="H22" s="311"/>
      <c r="I22" s="312"/>
    </row>
    <row r="23" spans="1:9" ht="17.100000000000001" customHeight="1" x14ac:dyDescent="0.2">
      <c r="A23" s="313" t="str">
        <f>พนง.ราชการ!A23</f>
        <v>โรงพยาบาลสามโคก  ประจำเดือน  พฤศจิกายน  2568</v>
      </c>
      <c r="B23" s="314"/>
      <c r="C23" s="314"/>
      <c r="D23" s="314"/>
      <c r="E23" s="314"/>
      <c r="F23" s="314"/>
      <c r="G23" s="314"/>
      <c r="H23" s="314"/>
      <c r="I23" s="315"/>
    </row>
    <row r="24" spans="1:9" ht="17.100000000000001" customHeight="1" x14ac:dyDescent="0.2">
      <c r="A24" s="308" t="s">
        <v>367</v>
      </c>
      <c r="B24" s="307"/>
      <c r="C24" s="307"/>
      <c r="D24" s="307"/>
      <c r="E24" s="307"/>
      <c r="F24" s="307"/>
      <c r="G24" s="307"/>
      <c r="H24" s="307"/>
      <c r="I24" s="309"/>
    </row>
    <row r="25" spans="1:9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</row>
    <row r="26" spans="1:9" ht="17.100000000000001" customHeight="1" x14ac:dyDescent="0.2">
      <c r="A26" s="149"/>
      <c r="B26" s="307" t="s">
        <v>9</v>
      </c>
      <c r="C26" s="307"/>
      <c r="D26" s="307"/>
      <c r="E26" s="147"/>
      <c r="F26" s="147"/>
      <c r="G26" s="307" t="s">
        <v>10</v>
      </c>
      <c r="H26" s="307"/>
      <c r="I26" s="152"/>
    </row>
    <row r="27" spans="1:9" ht="17.100000000000001" customHeight="1" x14ac:dyDescent="0.2">
      <c r="A27" s="149"/>
      <c r="B27" s="306" t="s">
        <v>3</v>
      </c>
      <c r="C27" s="306"/>
      <c r="D27" s="154">
        <f>รายเดือน!E9</f>
        <v>0</v>
      </c>
      <c r="E27" s="154"/>
      <c r="F27" s="155"/>
      <c r="G27" s="150" t="s">
        <v>99</v>
      </c>
      <c r="H27" s="154">
        <v>0</v>
      </c>
      <c r="I27" s="169"/>
    </row>
    <row r="28" spans="1:9" ht="17.100000000000001" customHeight="1" x14ac:dyDescent="0.2">
      <c r="A28" s="149"/>
      <c r="B28" s="306" t="s">
        <v>106</v>
      </c>
      <c r="C28" s="306"/>
      <c r="D28" s="154">
        <v>0</v>
      </c>
      <c r="E28" s="154"/>
      <c r="F28" s="155"/>
      <c r="G28" s="150" t="s">
        <v>116</v>
      </c>
      <c r="H28" s="154">
        <f>รายเดือน!O9</f>
        <v>0</v>
      </c>
      <c r="I28" s="169"/>
    </row>
    <row r="29" spans="1:9" ht="17.100000000000001" customHeight="1" x14ac:dyDescent="0.2">
      <c r="A29" s="149"/>
      <c r="B29" s="306" t="s">
        <v>107</v>
      </c>
      <c r="C29" s="306"/>
      <c r="D29" s="154">
        <v>0</v>
      </c>
      <c r="E29" s="154"/>
      <c r="F29" s="155"/>
      <c r="G29" s="150" t="s">
        <v>54</v>
      </c>
      <c r="H29" s="154">
        <v>0</v>
      </c>
      <c r="I29" s="169"/>
    </row>
    <row r="30" spans="1:9" ht="17.100000000000001" customHeight="1" x14ac:dyDescent="0.2">
      <c r="A30" s="149"/>
      <c r="B30" s="306" t="s">
        <v>130</v>
      </c>
      <c r="C30" s="306"/>
      <c r="D30" s="154">
        <f>รายเดือน!H9</f>
        <v>0</v>
      </c>
      <c r="E30" s="154"/>
      <c r="F30" s="155"/>
      <c r="G30" s="150" t="s">
        <v>100</v>
      </c>
      <c r="H30" s="154">
        <v>0</v>
      </c>
      <c r="I30" s="169"/>
    </row>
    <row r="31" spans="1:9" ht="17.100000000000001" customHeight="1" x14ac:dyDescent="0.2">
      <c r="A31" s="149"/>
      <c r="B31" s="306" t="s">
        <v>291</v>
      </c>
      <c r="C31" s="306"/>
      <c r="D31" s="154">
        <f>รายเดือน!I9</f>
        <v>0</v>
      </c>
      <c r="E31" s="154"/>
      <c r="F31" s="155"/>
      <c r="G31" s="150" t="s">
        <v>55</v>
      </c>
      <c r="H31" s="156">
        <v>0</v>
      </c>
      <c r="I31" s="169"/>
    </row>
    <row r="32" spans="1:9" ht="17.100000000000001" customHeight="1" x14ac:dyDescent="0.2">
      <c r="A32" s="149"/>
      <c r="B32" s="306" t="s">
        <v>119</v>
      </c>
      <c r="C32" s="306"/>
      <c r="D32" s="154">
        <f>รายเดือน!J9</f>
        <v>0</v>
      </c>
      <c r="E32" s="154"/>
      <c r="F32" s="155"/>
      <c r="G32" s="150" t="s">
        <v>377</v>
      </c>
      <c r="H32" s="156">
        <f>รายเดือน!S9</f>
        <v>0</v>
      </c>
      <c r="I32" s="169"/>
    </row>
    <row r="33" spans="1:9" ht="17.100000000000001" customHeight="1" x14ac:dyDescent="0.2">
      <c r="A33" s="149"/>
      <c r="B33" s="306" t="s">
        <v>136</v>
      </c>
      <c r="C33" s="306"/>
      <c r="D33" s="154">
        <f>รายเดือน!K11</f>
        <v>0</v>
      </c>
      <c r="E33" s="154"/>
      <c r="F33" s="155"/>
      <c r="G33" s="150" t="s">
        <v>56</v>
      </c>
      <c r="H33" s="156">
        <f>รายเดือน!T9</f>
        <v>0</v>
      </c>
      <c r="I33" s="169"/>
    </row>
    <row r="34" spans="1:9" ht="17.100000000000001" customHeight="1" x14ac:dyDescent="0.2">
      <c r="A34" s="149"/>
      <c r="B34" s="306" t="s">
        <v>6</v>
      </c>
      <c r="C34" s="306"/>
      <c r="D34" s="154">
        <v>0</v>
      </c>
      <c r="E34" s="154"/>
      <c r="F34" s="155"/>
      <c r="G34" s="150" t="s">
        <v>57</v>
      </c>
      <c r="H34" s="156">
        <f>รายเดือน!U9</f>
        <v>0</v>
      </c>
      <c r="I34" s="169"/>
    </row>
    <row r="35" spans="1:9" ht="17.100000000000001" customHeight="1" x14ac:dyDescent="0.2">
      <c r="A35" s="149"/>
      <c r="B35" s="306" t="s">
        <v>7</v>
      </c>
      <c r="C35" s="306"/>
      <c r="D35" s="154">
        <v>0</v>
      </c>
      <c r="E35" s="154"/>
      <c r="F35" s="155"/>
      <c r="G35" s="150"/>
      <c r="H35" s="154"/>
      <c r="I35" s="169"/>
    </row>
    <row r="36" spans="1:9" ht="17.100000000000001" customHeight="1" x14ac:dyDescent="0.2">
      <c r="A36" s="149"/>
      <c r="B36" s="307" t="s">
        <v>117</v>
      </c>
      <c r="C36" s="307"/>
      <c r="D36" s="157">
        <f>SUM(D27:D35)</f>
        <v>0</v>
      </c>
      <c r="E36" s="157"/>
      <c r="F36" s="157"/>
      <c r="G36" s="147" t="s">
        <v>118</v>
      </c>
      <c r="H36" s="157">
        <f>SUM(H27:H35)</f>
        <v>0</v>
      </c>
      <c r="I36" s="169"/>
    </row>
    <row r="37" spans="1:9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</row>
    <row r="38" spans="1:9" ht="17.100000000000001" customHeight="1" x14ac:dyDescent="0.2">
      <c r="A38" s="149"/>
      <c r="B38" s="150"/>
      <c r="C38" s="307" t="str">
        <f>"("&amp;BAHTTEXT(D37)&amp;")"</f>
        <v>(ศูนย์บาทถ้วน)</v>
      </c>
      <c r="D38" s="307"/>
      <c r="E38" s="307"/>
      <c r="F38" s="307"/>
      <c r="G38" s="307"/>
      <c r="H38" s="150"/>
      <c r="I38" s="152"/>
    </row>
    <row r="39" spans="1:9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</row>
    <row r="40" spans="1:9" ht="17.100000000000001" customHeight="1" x14ac:dyDescent="0.2">
      <c r="A40" s="149"/>
      <c r="B40" s="150"/>
      <c r="C40" s="147"/>
      <c r="D40" s="147"/>
      <c r="E40" s="147"/>
      <c r="F40" s="147"/>
      <c r="G40" s="147"/>
      <c r="H40" s="150"/>
      <c r="I40" s="152"/>
    </row>
    <row r="41" spans="1:9" ht="17.100000000000001" customHeight="1" x14ac:dyDescent="0.2">
      <c r="A41" s="149"/>
      <c r="B41" s="150"/>
      <c r="C41" s="150"/>
      <c r="D41" s="150"/>
      <c r="E41" s="150"/>
      <c r="F41" s="150"/>
      <c r="G41" s="150"/>
      <c r="H41" s="150"/>
      <c r="I41" s="152"/>
    </row>
    <row r="42" spans="1:9" ht="17.100000000000001" customHeight="1" x14ac:dyDescent="0.2">
      <c r="A42" s="149"/>
      <c r="B42" s="150"/>
      <c r="C42" s="150"/>
      <c r="D42" s="150"/>
      <c r="E42" s="150"/>
      <c r="F42" s="150"/>
      <c r="G42" s="150"/>
      <c r="H42" s="150"/>
      <c r="I42" s="152"/>
    </row>
    <row r="43" spans="1:9" ht="17.100000000000001" customHeight="1" x14ac:dyDescent="0.2">
      <c r="A43" s="308" t="s">
        <v>315</v>
      </c>
      <c r="B43" s="307"/>
      <c r="C43" s="307"/>
      <c r="D43" s="307"/>
      <c r="E43" s="307"/>
      <c r="F43" s="307"/>
      <c r="G43" s="307"/>
      <c r="H43" s="307"/>
      <c r="I43" s="309"/>
    </row>
    <row r="44" spans="1:9" ht="17.100000000000001" customHeight="1" x14ac:dyDescent="0.2">
      <c r="A44" s="310" t="s">
        <v>298</v>
      </c>
      <c r="B44" s="311"/>
      <c r="C44" s="311"/>
      <c r="D44" s="311"/>
      <c r="E44" s="311"/>
      <c r="F44" s="311"/>
      <c r="G44" s="311"/>
      <c r="H44" s="311"/>
      <c r="I44" s="312"/>
    </row>
    <row r="45" spans="1:9" ht="17.100000000000001" customHeight="1" x14ac:dyDescent="0.2">
      <c r="A45" s="313" t="str">
        <f>A1</f>
        <v>โรงพยาบาลสามโคก  ประจำเดือน  พฤศจิกายน  2568</v>
      </c>
      <c r="B45" s="314"/>
      <c r="C45" s="314"/>
      <c r="D45" s="314"/>
      <c r="E45" s="314"/>
      <c r="F45" s="314"/>
      <c r="G45" s="314"/>
      <c r="H45" s="314"/>
      <c r="I45" s="315"/>
    </row>
    <row r="46" spans="1:9" ht="17.100000000000001" customHeight="1" x14ac:dyDescent="0.2">
      <c r="A46" s="308" t="s">
        <v>477</v>
      </c>
      <c r="B46" s="307"/>
      <c r="C46" s="307"/>
      <c r="D46" s="307"/>
      <c r="E46" s="307"/>
      <c r="F46" s="307"/>
      <c r="G46" s="307"/>
      <c r="H46" s="307"/>
      <c r="I46" s="309"/>
    </row>
    <row r="47" spans="1:9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</row>
    <row r="48" spans="1:9" ht="17.100000000000001" customHeight="1" x14ac:dyDescent="0.2">
      <c r="A48" s="149"/>
      <c r="B48" s="307" t="s">
        <v>9</v>
      </c>
      <c r="C48" s="307"/>
      <c r="D48" s="307"/>
      <c r="E48" s="147"/>
      <c r="F48" s="147"/>
      <c r="G48" s="307" t="s">
        <v>10</v>
      </c>
      <c r="H48" s="307"/>
      <c r="I48" s="152"/>
    </row>
    <row r="49" spans="1:9" ht="17.100000000000001" customHeight="1" x14ac:dyDescent="0.2">
      <c r="A49" s="149"/>
      <c r="B49" s="306" t="s">
        <v>3</v>
      </c>
      <c r="C49" s="306"/>
      <c r="D49" s="154">
        <f>รายเดือน!E10</f>
        <v>0</v>
      </c>
      <c r="E49" s="154"/>
      <c r="F49" s="155"/>
      <c r="G49" s="150" t="s">
        <v>99</v>
      </c>
      <c r="H49" s="154">
        <v>0</v>
      </c>
      <c r="I49" s="169"/>
    </row>
    <row r="50" spans="1:9" ht="17.100000000000001" customHeight="1" x14ac:dyDescent="0.2">
      <c r="A50" s="149"/>
      <c r="B50" s="306" t="s">
        <v>106</v>
      </c>
      <c r="C50" s="306"/>
      <c r="D50" s="154">
        <v>0</v>
      </c>
      <c r="E50" s="154"/>
      <c r="F50" s="155"/>
      <c r="G50" s="150" t="s">
        <v>116</v>
      </c>
      <c r="H50" s="154">
        <f>รายเดือน!O10</f>
        <v>0</v>
      </c>
      <c r="I50" s="169"/>
    </row>
    <row r="51" spans="1:9" ht="17.100000000000001" customHeight="1" x14ac:dyDescent="0.2">
      <c r="A51" s="149"/>
      <c r="B51" s="306" t="s">
        <v>107</v>
      </c>
      <c r="C51" s="306"/>
      <c r="D51" s="154">
        <v>0</v>
      </c>
      <c r="E51" s="154"/>
      <c r="F51" s="155"/>
      <c r="G51" s="150" t="s">
        <v>54</v>
      </c>
      <c r="H51" s="154">
        <v>0</v>
      </c>
      <c r="I51" s="169"/>
    </row>
    <row r="52" spans="1:9" ht="17.100000000000001" customHeight="1" x14ac:dyDescent="0.2">
      <c r="A52" s="149"/>
      <c r="B52" s="306" t="s">
        <v>130</v>
      </c>
      <c r="C52" s="306"/>
      <c r="D52" s="154">
        <f>รายเดือน!H10</f>
        <v>0</v>
      </c>
      <c r="E52" s="154"/>
      <c r="F52" s="155"/>
      <c r="G52" s="150" t="s">
        <v>100</v>
      </c>
      <c r="H52" s="154">
        <v>0</v>
      </c>
      <c r="I52" s="169"/>
    </row>
    <row r="53" spans="1:9" ht="17.100000000000001" customHeight="1" x14ac:dyDescent="0.2">
      <c r="A53" s="149"/>
      <c r="B53" s="306" t="s">
        <v>558</v>
      </c>
      <c r="C53" s="306"/>
      <c r="D53" s="154">
        <f>รายเดือน!I10</f>
        <v>0</v>
      </c>
      <c r="E53" s="154"/>
      <c r="F53" s="155"/>
      <c r="G53" s="150" t="s">
        <v>55</v>
      </c>
      <c r="H53" s="156">
        <v>0</v>
      </c>
      <c r="I53" s="169"/>
    </row>
    <row r="54" spans="1:9" ht="17.100000000000001" customHeight="1" x14ac:dyDescent="0.2">
      <c r="A54" s="149"/>
      <c r="B54" s="306" t="s">
        <v>662</v>
      </c>
      <c r="C54" s="306"/>
      <c r="D54" s="154">
        <f>รายเดือน!J10</f>
        <v>0</v>
      </c>
      <c r="E54" s="154"/>
      <c r="F54" s="155"/>
      <c r="G54" s="150" t="s">
        <v>377</v>
      </c>
      <c r="H54" s="156">
        <f>รายเดือน!S10</f>
        <v>0</v>
      </c>
      <c r="I54" s="169"/>
    </row>
    <row r="55" spans="1:9" ht="17.100000000000001" customHeight="1" x14ac:dyDescent="0.2">
      <c r="A55" s="149"/>
      <c r="B55" s="306" t="s">
        <v>136</v>
      </c>
      <c r="C55" s="306"/>
      <c r="D55" s="154">
        <f>รายเดือน!K10</f>
        <v>0</v>
      </c>
      <c r="E55" s="154"/>
      <c r="F55" s="155"/>
      <c r="G55" s="150" t="s">
        <v>56</v>
      </c>
      <c r="H55" s="156">
        <f>รายเดือน!T10</f>
        <v>0</v>
      </c>
      <c r="I55" s="169"/>
    </row>
    <row r="56" spans="1:9" ht="17.100000000000001" customHeight="1" x14ac:dyDescent="0.2">
      <c r="A56" s="149"/>
      <c r="B56" s="306" t="s">
        <v>6</v>
      </c>
      <c r="C56" s="306"/>
      <c r="D56" s="154">
        <v>0</v>
      </c>
      <c r="E56" s="154"/>
      <c r="F56" s="155"/>
      <c r="G56" s="150" t="s">
        <v>57</v>
      </c>
      <c r="H56" s="156">
        <f>รายเดือน!U10</f>
        <v>0</v>
      </c>
      <c r="I56" s="169"/>
    </row>
    <row r="57" spans="1:9" ht="17.100000000000001" customHeight="1" x14ac:dyDescent="0.2">
      <c r="A57" s="149"/>
      <c r="B57" s="306" t="s">
        <v>7</v>
      </c>
      <c r="C57" s="306"/>
      <c r="D57" s="154">
        <v>0</v>
      </c>
      <c r="E57" s="154"/>
      <c r="F57" s="155"/>
      <c r="G57" s="150"/>
      <c r="H57" s="154"/>
      <c r="I57" s="169"/>
    </row>
    <row r="58" spans="1:9" ht="17.100000000000001" customHeight="1" x14ac:dyDescent="0.2">
      <c r="A58" s="149"/>
      <c r="B58" s="307" t="s">
        <v>117</v>
      </c>
      <c r="C58" s="307"/>
      <c r="D58" s="157">
        <f>SUM(D49:D57)</f>
        <v>0</v>
      </c>
      <c r="E58" s="157"/>
      <c r="F58" s="157"/>
      <c r="G58" s="147" t="s">
        <v>118</v>
      </c>
      <c r="H58" s="157">
        <f>SUM(H49:H57)</f>
        <v>0</v>
      </c>
      <c r="I58" s="169"/>
    </row>
    <row r="59" spans="1:9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</row>
    <row r="60" spans="1:9" ht="17.100000000000001" customHeight="1" x14ac:dyDescent="0.2">
      <c r="A60" s="149"/>
      <c r="B60" s="150"/>
      <c r="C60" s="307" t="str">
        <f>"("&amp;BAHTTEXT(D59)&amp;")"</f>
        <v>(ศูนย์บาทถ้วน)</v>
      </c>
      <c r="D60" s="307"/>
      <c r="E60" s="307"/>
      <c r="F60" s="307"/>
      <c r="G60" s="307"/>
      <c r="H60" s="150"/>
      <c r="I60" s="152"/>
    </row>
    <row r="61" spans="1:9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</row>
    <row r="62" spans="1:9" ht="17.100000000000001" customHeight="1" x14ac:dyDescent="0.2">
      <c r="A62" s="149"/>
      <c r="B62" s="150"/>
      <c r="C62" s="147"/>
      <c r="D62" s="147"/>
      <c r="E62" s="147"/>
      <c r="F62" s="147"/>
      <c r="G62" s="147"/>
      <c r="H62" s="150"/>
      <c r="I62" s="152"/>
    </row>
    <row r="63" spans="1:9" ht="17.100000000000001" customHeight="1" x14ac:dyDescent="0.2">
      <c r="A63" s="149"/>
      <c r="B63" s="150"/>
      <c r="C63" s="150"/>
      <c r="D63" s="150"/>
      <c r="E63" s="150"/>
      <c r="F63" s="150"/>
      <c r="G63" s="150"/>
      <c r="H63" s="150"/>
      <c r="I63" s="152"/>
    </row>
    <row r="64" spans="1:9" ht="17.100000000000001" customHeight="1" x14ac:dyDescent="0.2">
      <c r="A64" s="149"/>
      <c r="B64" s="150"/>
      <c r="C64" s="150"/>
      <c r="D64" s="150"/>
      <c r="E64" s="150"/>
      <c r="F64" s="150"/>
      <c r="G64" s="150"/>
      <c r="H64" s="150"/>
      <c r="I64" s="152"/>
    </row>
    <row r="65" spans="1:9" ht="17.100000000000001" customHeight="1" x14ac:dyDescent="0.2">
      <c r="A65" s="308" t="s">
        <v>315</v>
      </c>
      <c r="B65" s="307"/>
      <c r="C65" s="307"/>
      <c r="D65" s="307"/>
      <c r="E65" s="307"/>
      <c r="F65" s="307"/>
      <c r="G65" s="307"/>
      <c r="H65" s="307"/>
      <c r="I65" s="309"/>
    </row>
    <row r="66" spans="1:9" ht="16.5" customHeight="1" x14ac:dyDescent="0.2">
      <c r="A66" s="310" t="s">
        <v>298</v>
      </c>
      <c r="B66" s="311"/>
      <c r="C66" s="311"/>
      <c r="D66" s="311"/>
      <c r="E66" s="311"/>
      <c r="F66" s="311"/>
      <c r="G66" s="311"/>
      <c r="H66" s="311"/>
      <c r="I66" s="312"/>
    </row>
    <row r="67" spans="1:9" ht="16.5" customHeight="1" x14ac:dyDescent="0.2">
      <c r="A67" s="313" t="str">
        <f>A1</f>
        <v>โรงพยาบาลสามโคก  ประจำเดือน  พฤศจิกายน  2568</v>
      </c>
      <c r="B67" s="314"/>
      <c r="C67" s="314"/>
      <c r="D67" s="314"/>
      <c r="E67" s="314"/>
      <c r="F67" s="314"/>
      <c r="G67" s="314"/>
      <c r="H67" s="314"/>
      <c r="I67" s="315"/>
    </row>
    <row r="68" spans="1:9" ht="17.100000000000001" customHeight="1" x14ac:dyDescent="0.2">
      <c r="A68" s="308" t="s">
        <v>512</v>
      </c>
      <c r="B68" s="307"/>
      <c r="C68" s="307"/>
      <c r="D68" s="307"/>
      <c r="E68" s="307"/>
      <c r="F68" s="307"/>
      <c r="G68" s="307"/>
      <c r="H68" s="307"/>
      <c r="I68" s="309"/>
    </row>
    <row r="69" spans="1:9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</row>
    <row r="70" spans="1:9" ht="17.100000000000001" customHeight="1" x14ac:dyDescent="0.2">
      <c r="A70" s="149"/>
      <c r="B70" s="307" t="s">
        <v>9</v>
      </c>
      <c r="C70" s="307"/>
      <c r="D70" s="307"/>
      <c r="E70" s="147"/>
      <c r="F70" s="147"/>
      <c r="G70" s="307" t="s">
        <v>10</v>
      </c>
      <c r="H70" s="307"/>
      <c r="I70" s="152"/>
    </row>
    <row r="71" spans="1:9" ht="17.100000000000001" customHeight="1" x14ac:dyDescent="0.2">
      <c r="A71" s="149"/>
      <c r="B71" s="306" t="s">
        <v>3</v>
      </c>
      <c r="C71" s="306"/>
      <c r="D71" s="154">
        <f>รายเดือน!E11</f>
        <v>0</v>
      </c>
      <c r="E71" s="154"/>
      <c r="F71" s="155"/>
      <c r="G71" s="150" t="s">
        <v>99</v>
      </c>
      <c r="H71" s="154">
        <v>0</v>
      </c>
      <c r="I71" s="169"/>
    </row>
    <row r="72" spans="1:9" ht="17.100000000000001" customHeight="1" x14ac:dyDescent="0.2">
      <c r="A72" s="149"/>
      <c r="B72" s="306" t="s">
        <v>106</v>
      </c>
      <c r="C72" s="306"/>
      <c r="D72" s="154">
        <v>0</v>
      </c>
      <c r="E72" s="154"/>
      <c r="F72" s="155"/>
      <c r="G72" s="150" t="s">
        <v>116</v>
      </c>
      <c r="H72" s="154">
        <f>รายเดือน!O11</f>
        <v>0</v>
      </c>
      <c r="I72" s="169"/>
    </row>
    <row r="73" spans="1:9" ht="17.100000000000001" customHeight="1" x14ac:dyDescent="0.2">
      <c r="A73" s="149"/>
      <c r="B73" s="306" t="s">
        <v>107</v>
      </c>
      <c r="C73" s="306"/>
      <c r="D73" s="154">
        <v>0</v>
      </c>
      <c r="E73" s="154"/>
      <c r="F73" s="155"/>
      <c r="G73" s="150" t="s">
        <v>54</v>
      </c>
      <c r="H73" s="154">
        <v>0</v>
      </c>
      <c r="I73" s="169"/>
    </row>
    <row r="74" spans="1:9" ht="17.100000000000001" customHeight="1" x14ac:dyDescent="0.2">
      <c r="A74" s="149"/>
      <c r="B74" s="306" t="s">
        <v>668</v>
      </c>
      <c r="C74" s="306"/>
      <c r="D74" s="154">
        <f>รายเดือน!H11</f>
        <v>0</v>
      </c>
      <c r="E74" s="154"/>
      <c r="F74" s="155"/>
      <c r="G74" s="150" t="s">
        <v>100</v>
      </c>
      <c r="H74" s="154">
        <v>0</v>
      </c>
      <c r="I74" s="169"/>
    </row>
    <row r="75" spans="1:9" ht="17.100000000000001" customHeight="1" x14ac:dyDescent="0.2">
      <c r="A75" s="149"/>
      <c r="B75" s="306" t="s">
        <v>291</v>
      </c>
      <c r="C75" s="306"/>
      <c r="D75" s="154">
        <f>รายเดือน!I11</f>
        <v>0</v>
      </c>
      <c r="E75" s="154"/>
      <c r="F75" s="155"/>
      <c r="G75" s="150" t="s">
        <v>377</v>
      </c>
      <c r="H75" s="156">
        <f>รายเดือน!S11</f>
        <v>0</v>
      </c>
      <c r="I75" s="169"/>
    </row>
    <row r="76" spans="1:9" ht="17.100000000000001" customHeight="1" x14ac:dyDescent="0.2">
      <c r="A76" s="149"/>
      <c r="B76" s="306" t="s">
        <v>662</v>
      </c>
      <c r="C76" s="306"/>
      <c r="D76" s="154">
        <f>รายเดือน!J11</f>
        <v>0</v>
      </c>
      <c r="E76" s="154"/>
      <c r="F76" s="155"/>
      <c r="G76" s="150" t="s">
        <v>56</v>
      </c>
      <c r="H76" s="156">
        <f>รายเดือน!T11</f>
        <v>0</v>
      </c>
      <c r="I76" s="169"/>
    </row>
    <row r="77" spans="1:9" ht="17.100000000000001" customHeight="1" x14ac:dyDescent="0.2">
      <c r="A77" s="149"/>
      <c r="B77" s="306" t="s">
        <v>136</v>
      </c>
      <c r="C77" s="306"/>
      <c r="D77" s="154">
        <f>รายเดือน!K11</f>
        <v>0</v>
      </c>
      <c r="E77" s="154"/>
      <c r="F77" s="155"/>
      <c r="G77" s="150" t="s">
        <v>57</v>
      </c>
      <c r="H77" s="156">
        <f>รายเดือน!U11</f>
        <v>0</v>
      </c>
      <c r="I77" s="169"/>
    </row>
    <row r="78" spans="1:9" ht="17.100000000000001" customHeight="1" x14ac:dyDescent="0.2">
      <c r="A78" s="149"/>
      <c r="B78" s="306" t="s">
        <v>6</v>
      </c>
      <c r="C78" s="306"/>
      <c r="D78" s="154">
        <v>0</v>
      </c>
      <c r="E78" s="154"/>
      <c r="F78" s="155"/>
      <c r="G78" s="150"/>
      <c r="H78" s="154"/>
      <c r="I78" s="169"/>
    </row>
    <row r="79" spans="1:9" ht="17.100000000000001" customHeight="1" x14ac:dyDescent="0.2">
      <c r="A79" s="149"/>
      <c r="B79" s="306" t="s">
        <v>7</v>
      </c>
      <c r="C79" s="306"/>
      <c r="D79" s="154">
        <v>0</v>
      </c>
      <c r="E79" s="154"/>
      <c r="F79" s="155"/>
      <c r="G79" s="150"/>
      <c r="H79" s="154"/>
      <c r="I79" s="169"/>
    </row>
    <row r="80" spans="1:9" ht="17.100000000000001" customHeight="1" x14ac:dyDescent="0.2">
      <c r="A80" s="149"/>
      <c r="B80" s="307" t="s">
        <v>117</v>
      </c>
      <c r="C80" s="307"/>
      <c r="D80" s="157">
        <f>SUM(D71:D79)</f>
        <v>0</v>
      </c>
      <c r="E80" s="157"/>
      <c r="F80" s="157"/>
      <c r="G80" s="147" t="s">
        <v>118</v>
      </c>
      <c r="H80" s="157">
        <f>SUM(H71:H79)</f>
        <v>0</v>
      </c>
      <c r="I80" s="169"/>
    </row>
    <row r="81" spans="1:9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</row>
    <row r="82" spans="1:9" ht="17.100000000000001" customHeight="1" x14ac:dyDescent="0.2">
      <c r="A82" s="149"/>
      <c r="B82" s="150"/>
      <c r="C82" s="307" t="str">
        <f>"("&amp;BAHTTEXT(D81)&amp;")"</f>
        <v>(ศูนย์บาทถ้วน)</v>
      </c>
      <c r="D82" s="307"/>
      <c r="E82" s="307"/>
      <c r="F82" s="307"/>
      <c r="G82" s="307"/>
      <c r="H82" s="150"/>
      <c r="I82" s="152"/>
    </row>
    <row r="83" spans="1:9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</row>
    <row r="84" spans="1:9" ht="17.100000000000001" customHeight="1" x14ac:dyDescent="0.2">
      <c r="A84" s="149"/>
      <c r="B84" s="150"/>
      <c r="C84" s="147"/>
      <c r="D84" s="147"/>
      <c r="E84" s="147"/>
      <c r="F84" s="147"/>
      <c r="G84" s="147"/>
      <c r="H84" s="150"/>
      <c r="I84" s="152"/>
    </row>
    <row r="85" spans="1:9" ht="17.100000000000001" customHeight="1" x14ac:dyDescent="0.2">
      <c r="A85" s="149"/>
      <c r="B85" s="150"/>
      <c r="C85" s="150"/>
      <c r="D85" s="150"/>
      <c r="E85" s="150"/>
      <c r="F85" s="150"/>
      <c r="G85" s="150"/>
      <c r="H85" s="150"/>
      <c r="I85" s="152"/>
    </row>
    <row r="86" spans="1:9" ht="17.100000000000001" customHeight="1" x14ac:dyDescent="0.2">
      <c r="A86" s="149"/>
      <c r="B86" s="150"/>
      <c r="C86" s="150"/>
      <c r="D86" s="150"/>
      <c r="E86" s="150"/>
      <c r="F86" s="150"/>
      <c r="G86" s="150"/>
      <c r="H86" s="150"/>
      <c r="I86" s="152"/>
    </row>
    <row r="87" spans="1:9" ht="17.100000000000001" customHeight="1" x14ac:dyDescent="0.2">
      <c r="A87" s="308" t="s">
        <v>315</v>
      </c>
      <c r="B87" s="307"/>
      <c r="C87" s="307"/>
      <c r="D87" s="307"/>
      <c r="E87" s="307"/>
      <c r="F87" s="307"/>
      <c r="G87" s="307"/>
      <c r="H87" s="307"/>
      <c r="I87" s="309"/>
    </row>
    <row r="88" spans="1:9" ht="17.100000000000001" customHeight="1" x14ac:dyDescent="0.2">
      <c r="A88" s="310" t="s">
        <v>298</v>
      </c>
      <c r="B88" s="311"/>
      <c r="C88" s="311"/>
      <c r="D88" s="311"/>
      <c r="E88" s="311"/>
      <c r="F88" s="311"/>
      <c r="G88" s="311"/>
      <c r="H88" s="311"/>
      <c r="I88" s="312"/>
    </row>
    <row r="89" spans="1:9" ht="17.100000000000001" customHeight="1" x14ac:dyDescent="0.2">
      <c r="A89" s="313" t="str">
        <f>A23</f>
        <v>โรงพยาบาลสามโคก  ประจำเดือน  พฤศจิกายน  2568</v>
      </c>
      <c r="B89" s="314"/>
      <c r="C89" s="314"/>
      <c r="D89" s="314"/>
      <c r="E89" s="314"/>
      <c r="F89" s="314"/>
      <c r="G89" s="314"/>
      <c r="H89" s="314"/>
      <c r="I89" s="315"/>
    </row>
    <row r="90" spans="1:9" ht="17.100000000000001" customHeight="1" x14ac:dyDescent="0.2">
      <c r="A90" s="308" t="s">
        <v>557</v>
      </c>
      <c r="B90" s="307"/>
      <c r="C90" s="307"/>
      <c r="D90" s="307"/>
      <c r="E90" s="307"/>
      <c r="F90" s="307"/>
      <c r="G90" s="307"/>
      <c r="H90" s="307"/>
      <c r="I90" s="309"/>
    </row>
    <row r="91" spans="1:9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</row>
    <row r="92" spans="1:9" ht="17.100000000000001" customHeight="1" x14ac:dyDescent="0.2">
      <c r="A92" s="149"/>
      <c r="B92" s="307" t="s">
        <v>9</v>
      </c>
      <c r="C92" s="307"/>
      <c r="D92" s="307"/>
      <c r="E92" s="147"/>
      <c r="F92" s="147"/>
      <c r="G92" s="307" t="s">
        <v>10</v>
      </c>
      <c r="H92" s="307"/>
      <c r="I92" s="152"/>
    </row>
    <row r="93" spans="1:9" ht="17.100000000000001" customHeight="1" x14ac:dyDescent="0.2">
      <c r="A93" s="149"/>
      <c r="B93" s="306" t="s">
        <v>3</v>
      </c>
      <c r="C93" s="306"/>
      <c r="D93" s="154">
        <f>รายเดือน!E12</f>
        <v>0</v>
      </c>
      <c r="E93" s="154"/>
      <c r="F93" s="155"/>
      <c r="G93" s="150" t="s">
        <v>99</v>
      </c>
      <c r="H93" s="154">
        <v>0</v>
      </c>
      <c r="I93" s="169"/>
    </row>
    <row r="94" spans="1:9" ht="17.100000000000001" customHeight="1" x14ac:dyDescent="0.2">
      <c r="A94" s="149"/>
      <c r="B94" s="306" t="s">
        <v>106</v>
      </c>
      <c r="C94" s="306"/>
      <c r="D94" s="154">
        <v>0</v>
      </c>
      <c r="E94" s="154"/>
      <c r="F94" s="155"/>
      <c r="G94" s="150" t="s">
        <v>116</v>
      </c>
      <c r="H94" s="154">
        <f>รายเดือน!O12</f>
        <v>0</v>
      </c>
      <c r="I94" s="169"/>
    </row>
    <row r="95" spans="1:9" ht="17.100000000000001" customHeight="1" x14ac:dyDescent="0.2">
      <c r="A95" s="149"/>
      <c r="B95" s="306" t="s">
        <v>107</v>
      </c>
      <c r="C95" s="306"/>
      <c r="D95" s="154">
        <v>0</v>
      </c>
      <c r="E95" s="154"/>
      <c r="F95" s="155"/>
      <c r="G95" s="150" t="s">
        <v>54</v>
      </c>
      <c r="H95" s="154">
        <v>0</v>
      </c>
      <c r="I95" s="169"/>
    </row>
    <row r="96" spans="1:9" ht="17.100000000000001" customHeight="1" x14ac:dyDescent="0.2">
      <c r="A96" s="149"/>
      <c r="B96" s="306" t="s">
        <v>668</v>
      </c>
      <c r="C96" s="306"/>
      <c r="D96" s="154">
        <f>รายเดือน!H12</f>
        <v>0</v>
      </c>
      <c r="E96" s="154"/>
      <c r="F96" s="155"/>
      <c r="G96" s="150" t="s">
        <v>100</v>
      </c>
      <c r="H96" s="154">
        <v>0</v>
      </c>
      <c r="I96" s="169"/>
    </row>
    <row r="97" spans="1:9" ht="17.100000000000001" customHeight="1" x14ac:dyDescent="0.2">
      <c r="A97" s="149"/>
      <c r="B97" s="306" t="s">
        <v>291</v>
      </c>
      <c r="C97" s="306"/>
      <c r="D97" s="154">
        <f>รายเดือน!I12</f>
        <v>0</v>
      </c>
      <c r="E97" s="154"/>
      <c r="F97" s="155"/>
      <c r="G97" s="150" t="s">
        <v>377</v>
      </c>
      <c r="H97" s="156">
        <f>รายเดือน!S12</f>
        <v>0</v>
      </c>
      <c r="I97" s="169"/>
    </row>
    <row r="98" spans="1:9" ht="17.100000000000001" customHeight="1" x14ac:dyDescent="0.2">
      <c r="A98" s="149"/>
      <c r="B98" s="306" t="s">
        <v>662</v>
      </c>
      <c r="C98" s="306"/>
      <c r="D98" s="154">
        <f>รายเดือน!J12</f>
        <v>0</v>
      </c>
      <c r="E98" s="154"/>
      <c r="F98" s="155"/>
      <c r="G98" s="150" t="s">
        <v>56</v>
      </c>
      <c r="H98" s="156">
        <f>รายเดือน!T12</f>
        <v>0</v>
      </c>
      <c r="I98" s="169"/>
    </row>
    <row r="99" spans="1:9" ht="17.100000000000001" customHeight="1" x14ac:dyDescent="0.2">
      <c r="A99" s="149"/>
      <c r="B99" s="306" t="s">
        <v>136</v>
      </c>
      <c r="C99" s="306"/>
      <c r="D99" s="154">
        <f>รายเดือน!K98</f>
        <v>0</v>
      </c>
      <c r="E99" s="154"/>
      <c r="F99" s="155"/>
      <c r="G99" s="150" t="s">
        <v>57</v>
      </c>
      <c r="H99" s="156">
        <f>รายเดือน!U12</f>
        <v>0</v>
      </c>
      <c r="I99" s="169"/>
    </row>
    <row r="100" spans="1:9" ht="17.100000000000001" customHeight="1" x14ac:dyDescent="0.2">
      <c r="A100" s="149"/>
      <c r="B100" s="306" t="s">
        <v>6</v>
      </c>
      <c r="C100" s="306"/>
      <c r="D100" s="154">
        <v>0</v>
      </c>
      <c r="E100" s="154"/>
      <c r="F100" s="155"/>
      <c r="G100" s="150"/>
      <c r="H100" s="154"/>
      <c r="I100" s="169"/>
    </row>
    <row r="101" spans="1:9" ht="17.100000000000001" customHeight="1" x14ac:dyDescent="0.2">
      <c r="A101" s="149"/>
      <c r="B101" s="306" t="s">
        <v>7</v>
      </c>
      <c r="C101" s="306"/>
      <c r="D101" s="154">
        <v>0</v>
      </c>
      <c r="E101" s="154"/>
      <c r="F101" s="155"/>
      <c r="G101" s="150"/>
      <c r="H101" s="154"/>
      <c r="I101" s="169"/>
    </row>
    <row r="102" spans="1:9" ht="17.100000000000001" customHeight="1" x14ac:dyDescent="0.2">
      <c r="A102" s="149"/>
      <c r="B102" s="307" t="s">
        <v>117</v>
      </c>
      <c r="C102" s="307"/>
      <c r="D102" s="157">
        <f>SUM(D93:D101)</f>
        <v>0</v>
      </c>
      <c r="E102" s="157"/>
      <c r="F102" s="157"/>
      <c r="G102" s="147" t="s">
        <v>118</v>
      </c>
      <c r="H102" s="157">
        <f>SUM(H93:H101)</f>
        <v>0</v>
      </c>
      <c r="I102" s="169"/>
    </row>
    <row r="103" spans="1:9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</row>
    <row r="104" spans="1:9" ht="17.100000000000001" customHeight="1" x14ac:dyDescent="0.2">
      <c r="A104" s="149"/>
      <c r="B104" s="150"/>
      <c r="C104" s="307" t="str">
        <f>"("&amp;BAHTTEXT(D103)&amp;")"</f>
        <v>(ศูนย์บาทถ้วน)</v>
      </c>
      <c r="D104" s="307"/>
      <c r="E104" s="307"/>
      <c r="F104" s="307"/>
      <c r="G104" s="307"/>
      <c r="H104" s="150"/>
      <c r="I104" s="152"/>
    </row>
    <row r="105" spans="1:9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</row>
    <row r="106" spans="1:9" ht="17.100000000000001" customHeight="1" x14ac:dyDescent="0.2">
      <c r="A106" s="149"/>
      <c r="B106" s="150"/>
      <c r="C106" s="147"/>
      <c r="D106" s="147"/>
      <c r="E106" s="147"/>
      <c r="F106" s="147"/>
      <c r="G106" s="147"/>
      <c r="H106" s="150"/>
      <c r="I106" s="152"/>
    </row>
    <row r="107" spans="1:9" ht="17.100000000000001" customHeight="1" x14ac:dyDescent="0.2">
      <c r="A107" s="149"/>
      <c r="B107" s="150"/>
      <c r="C107" s="150"/>
      <c r="D107" s="150"/>
      <c r="E107" s="150"/>
      <c r="F107" s="150"/>
      <c r="G107" s="150"/>
      <c r="H107" s="150"/>
      <c r="I107" s="152"/>
    </row>
    <row r="108" spans="1:9" ht="17.100000000000001" customHeight="1" x14ac:dyDescent="0.2">
      <c r="A108" s="149"/>
      <c r="B108" s="150"/>
      <c r="C108" s="150"/>
      <c r="D108" s="150"/>
      <c r="E108" s="150"/>
      <c r="F108" s="150"/>
      <c r="G108" s="150"/>
      <c r="H108" s="150"/>
      <c r="I108" s="152"/>
    </row>
    <row r="109" spans="1:9" ht="17.100000000000001" customHeight="1" x14ac:dyDescent="0.2">
      <c r="A109" s="308" t="s">
        <v>315</v>
      </c>
      <c r="B109" s="307"/>
      <c r="C109" s="307"/>
      <c r="D109" s="307"/>
      <c r="E109" s="307"/>
      <c r="F109" s="307"/>
      <c r="G109" s="307"/>
      <c r="H109" s="307"/>
      <c r="I109" s="309"/>
    </row>
    <row r="110" spans="1:9" ht="17.100000000000001" customHeight="1" x14ac:dyDescent="0.2">
      <c r="A110" s="310" t="s">
        <v>298</v>
      </c>
      <c r="B110" s="311"/>
      <c r="C110" s="311"/>
      <c r="D110" s="311"/>
      <c r="E110" s="311"/>
      <c r="F110" s="311"/>
      <c r="G110" s="311"/>
      <c r="H110" s="311"/>
      <c r="I110" s="312"/>
    </row>
    <row r="111" spans="1:9" ht="17.100000000000001" customHeight="1" x14ac:dyDescent="0.2">
      <c r="A111" s="313" t="str">
        <f>A45</f>
        <v>โรงพยาบาลสามโคก  ประจำเดือน  พฤศจิกายน  2568</v>
      </c>
      <c r="B111" s="314"/>
      <c r="C111" s="314"/>
      <c r="D111" s="314"/>
      <c r="E111" s="314"/>
      <c r="F111" s="314"/>
      <c r="G111" s="314"/>
      <c r="H111" s="314"/>
      <c r="I111" s="315"/>
    </row>
    <row r="112" spans="1:9" ht="17.100000000000001" customHeight="1" x14ac:dyDescent="0.2">
      <c r="A112" s="308" t="s">
        <v>608</v>
      </c>
      <c r="B112" s="307"/>
      <c r="C112" s="307"/>
      <c r="D112" s="307"/>
      <c r="E112" s="307"/>
      <c r="F112" s="307"/>
      <c r="G112" s="307"/>
      <c r="H112" s="307"/>
      <c r="I112" s="309"/>
    </row>
    <row r="113" spans="1:9" ht="17.100000000000001" customHeight="1" x14ac:dyDescent="0.2">
      <c r="A113" s="149"/>
      <c r="B113" s="153"/>
      <c r="C113" s="243"/>
      <c r="D113" s="242"/>
      <c r="E113" s="242"/>
      <c r="F113" s="242"/>
      <c r="G113" s="243"/>
      <c r="H113" s="243"/>
      <c r="I113" s="152"/>
    </row>
    <row r="114" spans="1:9" ht="17.100000000000001" customHeight="1" x14ac:dyDescent="0.2">
      <c r="A114" s="149"/>
      <c r="B114" s="307" t="s">
        <v>9</v>
      </c>
      <c r="C114" s="307"/>
      <c r="D114" s="307"/>
      <c r="E114" s="242"/>
      <c r="F114" s="242"/>
      <c r="G114" s="307" t="s">
        <v>10</v>
      </c>
      <c r="H114" s="307"/>
      <c r="I114" s="152"/>
    </row>
    <row r="115" spans="1:9" ht="17.100000000000001" customHeight="1" x14ac:dyDescent="0.2">
      <c r="A115" s="149"/>
      <c r="B115" s="306" t="s">
        <v>3</v>
      </c>
      <c r="C115" s="306"/>
      <c r="D115" s="154">
        <f>รายเดือน!E13</f>
        <v>0</v>
      </c>
      <c r="E115" s="154"/>
      <c r="F115" s="155"/>
      <c r="G115" s="243" t="s">
        <v>99</v>
      </c>
      <c r="H115" s="154">
        <v>0</v>
      </c>
      <c r="I115" s="169"/>
    </row>
    <row r="116" spans="1:9" ht="17.100000000000001" customHeight="1" x14ac:dyDescent="0.2">
      <c r="A116" s="149"/>
      <c r="B116" s="306" t="s">
        <v>106</v>
      </c>
      <c r="C116" s="306"/>
      <c r="D116" s="154">
        <v>0</v>
      </c>
      <c r="E116" s="154"/>
      <c r="F116" s="155"/>
      <c r="G116" s="243" t="s">
        <v>116</v>
      </c>
      <c r="H116" s="154">
        <f>รายเดือน!O13</f>
        <v>0</v>
      </c>
      <c r="I116" s="169"/>
    </row>
    <row r="117" spans="1:9" ht="17.100000000000001" customHeight="1" x14ac:dyDescent="0.2">
      <c r="A117" s="149"/>
      <c r="B117" s="306" t="s">
        <v>107</v>
      </c>
      <c r="C117" s="306"/>
      <c r="D117" s="154">
        <v>0</v>
      </c>
      <c r="E117" s="154"/>
      <c r="F117" s="155"/>
      <c r="G117" s="243" t="s">
        <v>54</v>
      </c>
      <c r="H117" s="154">
        <v>0</v>
      </c>
      <c r="I117" s="169"/>
    </row>
    <row r="118" spans="1:9" ht="17.100000000000001" customHeight="1" x14ac:dyDescent="0.2">
      <c r="A118" s="149"/>
      <c r="B118" s="306" t="s">
        <v>668</v>
      </c>
      <c r="C118" s="306"/>
      <c r="D118" s="154">
        <f>รายเดือน!H13</f>
        <v>0</v>
      </c>
      <c r="E118" s="154"/>
      <c r="F118" s="155"/>
      <c r="G118" s="243" t="s">
        <v>100</v>
      </c>
      <c r="H118" s="154">
        <v>0</v>
      </c>
      <c r="I118" s="169"/>
    </row>
    <row r="119" spans="1:9" ht="17.100000000000001" customHeight="1" x14ac:dyDescent="0.2">
      <c r="A119" s="149"/>
      <c r="B119" s="306" t="s">
        <v>291</v>
      </c>
      <c r="C119" s="306"/>
      <c r="D119" s="154">
        <f>รายเดือน!I34</f>
        <v>0</v>
      </c>
      <c r="E119" s="154"/>
      <c r="F119" s="155"/>
      <c r="G119" s="243" t="s">
        <v>377</v>
      </c>
      <c r="H119" s="156">
        <f>รายเดือน!S34</f>
        <v>0</v>
      </c>
      <c r="I119" s="169"/>
    </row>
    <row r="120" spans="1:9" ht="17.100000000000001" customHeight="1" x14ac:dyDescent="0.2">
      <c r="A120" s="149"/>
      <c r="B120" s="306" t="s">
        <v>119</v>
      </c>
      <c r="C120" s="306"/>
      <c r="D120" s="154">
        <f>รายเดือน!J34</f>
        <v>0</v>
      </c>
      <c r="E120" s="154"/>
      <c r="F120" s="155"/>
      <c r="G120" s="243" t="s">
        <v>56</v>
      </c>
      <c r="H120" s="156">
        <f>รายเดือน!T34</f>
        <v>0</v>
      </c>
      <c r="I120" s="169"/>
    </row>
    <row r="121" spans="1:9" ht="17.100000000000001" customHeight="1" x14ac:dyDescent="0.2">
      <c r="A121" s="149"/>
      <c r="B121" s="306" t="s">
        <v>136</v>
      </c>
      <c r="C121" s="306"/>
      <c r="D121" s="154">
        <f>รายเดือน!K120</f>
        <v>0</v>
      </c>
      <c r="E121" s="154"/>
      <c r="F121" s="155"/>
      <c r="G121" s="243" t="s">
        <v>57</v>
      </c>
      <c r="H121" s="156">
        <f>รายเดือน!U34</f>
        <v>0</v>
      </c>
      <c r="I121" s="169"/>
    </row>
    <row r="122" spans="1:9" ht="17.100000000000001" customHeight="1" x14ac:dyDescent="0.2">
      <c r="A122" s="149"/>
      <c r="B122" s="306" t="s">
        <v>6</v>
      </c>
      <c r="C122" s="306"/>
      <c r="D122" s="154">
        <v>0</v>
      </c>
      <c r="E122" s="154"/>
      <c r="F122" s="155"/>
      <c r="G122" s="243"/>
      <c r="H122" s="154"/>
      <c r="I122" s="169"/>
    </row>
    <row r="123" spans="1:9" ht="17.100000000000001" customHeight="1" x14ac:dyDescent="0.2">
      <c r="A123" s="149"/>
      <c r="B123" s="306" t="s">
        <v>7</v>
      </c>
      <c r="C123" s="306"/>
      <c r="D123" s="154">
        <v>0</v>
      </c>
      <c r="E123" s="154"/>
      <c r="F123" s="155"/>
      <c r="G123" s="243"/>
      <c r="H123" s="154"/>
      <c r="I123" s="169"/>
    </row>
    <row r="124" spans="1:9" ht="17.100000000000001" customHeight="1" x14ac:dyDescent="0.2">
      <c r="A124" s="149"/>
      <c r="B124" s="307" t="s">
        <v>117</v>
      </c>
      <c r="C124" s="307"/>
      <c r="D124" s="157">
        <f>SUM(D115:D123)</f>
        <v>0</v>
      </c>
      <c r="E124" s="157"/>
      <c r="F124" s="157"/>
      <c r="G124" s="242" t="s">
        <v>118</v>
      </c>
      <c r="H124" s="157">
        <f>SUM(H115:H123)</f>
        <v>0</v>
      </c>
      <c r="I124" s="169"/>
    </row>
    <row r="125" spans="1:9" ht="17.100000000000001" customHeight="1" x14ac:dyDescent="0.2">
      <c r="A125" s="149"/>
      <c r="B125" s="243"/>
      <c r="C125" s="242" t="s">
        <v>103</v>
      </c>
      <c r="D125" s="157">
        <f>D124-H124</f>
        <v>0</v>
      </c>
      <c r="E125" s="157"/>
      <c r="F125" s="158" t="s">
        <v>104</v>
      </c>
      <c r="H125" s="243"/>
      <c r="I125" s="152"/>
    </row>
    <row r="126" spans="1:9" ht="17.100000000000001" customHeight="1" x14ac:dyDescent="0.2">
      <c r="A126" s="149"/>
      <c r="B126" s="243"/>
      <c r="C126" s="307" t="str">
        <f>"("&amp;BAHTTEXT(D125)&amp;")"</f>
        <v>(ศูนย์บาทถ้วน)</v>
      </c>
      <c r="D126" s="307"/>
      <c r="E126" s="307"/>
      <c r="F126" s="307"/>
      <c r="G126" s="307"/>
      <c r="H126" s="243"/>
      <c r="I126" s="152"/>
    </row>
    <row r="127" spans="1:9" ht="17.100000000000001" customHeight="1" x14ac:dyDescent="0.2">
      <c r="A127" s="149"/>
      <c r="B127" s="243"/>
      <c r="C127" s="242"/>
      <c r="D127" s="242"/>
      <c r="E127" s="242"/>
      <c r="F127" s="242"/>
      <c r="G127" s="242"/>
      <c r="H127" s="243"/>
      <c r="I127" s="152"/>
    </row>
    <row r="128" spans="1:9" ht="17.100000000000001" customHeight="1" x14ac:dyDescent="0.2">
      <c r="A128" s="149"/>
      <c r="B128" s="243"/>
      <c r="C128" s="242"/>
      <c r="D128" s="242"/>
      <c r="E128" s="242"/>
      <c r="F128" s="242"/>
      <c r="G128" s="242"/>
      <c r="H128" s="243"/>
      <c r="I128" s="152"/>
    </row>
    <row r="129" spans="1:9" ht="17.100000000000001" customHeight="1" x14ac:dyDescent="0.2">
      <c r="A129" s="149"/>
      <c r="B129" s="243"/>
      <c r="C129" s="243"/>
      <c r="D129" s="243"/>
      <c r="E129" s="243"/>
      <c r="F129" s="243"/>
      <c r="G129" s="243"/>
      <c r="H129" s="243"/>
      <c r="I129" s="152"/>
    </row>
    <row r="130" spans="1:9" ht="17.100000000000001" customHeight="1" x14ac:dyDescent="0.2">
      <c r="A130" s="149"/>
      <c r="B130" s="243"/>
      <c r="C130" s="243"/>
      <c r="D130" s="243"/>
      <c r="E130" s="243"/>
      <c r="F130" s="243"/>
      <c r="G130" s="243"/>
      <c r="H130" s="243"/>
      <c r="I130" s="152"/>
    </row>
    <row r="131" spans="1:9" ht="17.100000000000001" customHeight="1" x14ac:dyDescent="0.2">
      <c r="A131" s="308" t="s">
        <v>315</v>
      </c>
      <c r="B131" s="307"/>
      <c r="C131" s="307"/>
      <c r="D131" s="307"/>
      <c r="E131" s="307"/>
      <c r="F131" s="307"/>
      <c r="G131" s="307"/>
      <c r="H131" s="307"/>
      <c r="I131" s="309"/>
    </row>
    <row r="132" spans="1:9" ht="17.100000000000001" customHeight="1" x14ac:dyDescent="0.2">
      <c r="A132" s="310" t="s">
        <v>298</v>
      </c>
      <c r="B132" s="311"/>
      <c r="C132" s="311"/>
      <c r="D132" s="311"/>
      <c r="E132" s="311"/>
      <c r="F132" s="311"/>
      <c r="G132" s="311"/>
      <c r="H132" s="311"/>
      <c r="I132" s="312"/>
    </row>
    <row r="133" spans="1:9" ht="17.100000000000001" customHeight="1" x14ac:dyDescent="0.2">
      <c r="A133" s="313" t="str">
        <f>A67</f>
        <v>โรงพยาบาลสามโคก  ประจำเดือน  พฤศจิกายน  2568</v>
      </c>
      <c r="B133" s="314"/>
      <c r="C133" s="314"/>
      <c r="D133" s="314"/>
      <c r="E133" s="314"/>
      <c r="F133" s="314"/>
      <c r="G133" s="314"/>
      <c r="H133" s="314"/>
      <c r="I133" s="315"/>
    </row>
    <row r="134" spans="1:9" ht="17.100000000000001" customHeight="1" x14ac:dyDescent="0.2">
      <c r="A134" s="308" t="s">
        <v>609</v>
      </c>
      <c r="B134" s="307"/>
      <c r="C134" s="307"/>
      <c r="D134" s="307"/>
      <c r="E134" s="307"/>
      <c r="F134" s="307"/>
      <c r="G134" s="307"/>
      <c r="H134" s="307"/>
      <c r="I134" s="309"/>
    </row>
    <row r="135" spans="1:9" ht="17.100000000000001" customHeight="1" x14ac:dyDescent="0.2">
      <c r="A135" s="149"/>
      <c r="B135" s="153"/>
      <c r="C135" s="243"/>
      <c r="D135" s="242"/>
      <c r="E135" s="242"/>
      <c r="F135" s="242"/>
      <c r="G135" s="243"/>
      <c r="H135" s="243"/>
      <c r="I135" s="152"/>
    </row>
    <row r="136" spans="1:9" ht="17.100000000000001" customHeight="1" x14ac:dyDescent="0.2">
      <c r="A136" s="149"/>
      <c r="B136" s="307" t="s">
        <v>9</v>
      </c>
      <c r="C136" s="307"/>
      <c r="D136" s="307"/>
      <c r="E136" s="242"/>
      <c r="F136" s="242"/>
      <c r="G136" s="307" t="s">
        <v>10</v>
      </c>
      <c r="H136" s="307"/>
      <c r="I136" s="152"/>
    </row>
    <row r="137" spans="1:9" ht="17.100000000000001" customHeight="1" x14ac:dyDescent="0.2">
      <c r="A137" s="149"/>
      <c r="B137" s="306" t="s">
        <v>3</v>
      </c>
      <c r="C137" s="306"/>
      <c r="D137" s="154">
        <f>รายเดือน!E14</f>
        <v>0</v>
      </c>
      <c r="E137" s="154"/>
      <c r="F137" s="155"/>
      <c r="G137" s="243" t="s">
        <v>99</v>
      </c>
      <c r="H137" s="154">
        <v>0</v>
      </c>
      <c r="I137" s="169"/>
    </row>
    <row r="138" spans="1:9" ht="17.100000000000001" customHeight="1" x14ac:dyDescent="0.2">
      <c r="A138" s="149"/>
      <c r="B138" s="306" t="s">
        <v>106</v>
      </c>
      <c r="C138" s="306"/>
      <c r="D138" s="154">
        <v>0</v>
      </c>
      <c r="E138" s="154"/>
      <c r="F138" s="155"/>
      <c r="G138" s="243" t="s">
        <v>116</v>
      </c>
      <c r="H138" s="154">
        <f>รายเดือน!O14</f>
        <v>0</v>
      </c>
      <c r="I138" s="169"/>
    </row>
    <row r="139" spans="1:9" ht="17.100000000000001" customHeight="1" x14ac:dyDescent="0.2">
      <c r="A139" s="149"/>
      <c r="B139" s="306" t="s">
        <v>107</v>
      </c>
      <c r="C139" s="306"/>
      <c r="D139" s="154">
        <v>0</v>
      </c>
      <c r="E139" s="154"/>
      <c r="F139" s="155"/>
      <c r="G139" s="243" t="s">
        <v>54</v>
      </c>
      <c r="H139" s="154">
        <v>0</v>
      </c>
      <c r="I139" s="169"/>
    </row>
    <row r="140" spans="1:9" ht="17.100000000000001" customHeight="1" x14ac:dyDescent="0.2">
      <c r="A140" s="149"/>
      <c r="B140" s="306" t="s">
        <v>668</v>
      </c>
      <c r="C140" s="306"/>
      <c r="D140" s="154">
        <f>รายเดือน!H14</f>
        <v>0</v>
      </c>
      <c r="E140" s="154"/>
      <c r="F140" s="155"/>
      <c r="G140" s="243" t="s">
        <v>100</v>
      </c>
      <c r="H140" s="154">
        <v>0</v>
      </c>
      <c r="I140" s="169"/>
    </row>
    <row r="141" spans="1:9" ht="17.100000000000001" customHeight="1" x14ac:dyDescent="0.2">
      <c r="A141" s="149"/>
      <c r="B141" s="306" t="s">
        <v>291</v>
      </c>
      <c r="C141" s="306"/>
      <c r="D141" s="154">
        <f>รายเดือน!I56</f>
        <v>0</v>
      </c>
      <c r="E141" s="154"/>
      <c r="F141" s="155"/>
      <c r="G141" s="243" t="s">
        <v>377</v>
      </c>
      <c r="H141" s="156">
        <f>รายเดือน!S56</f>
        <v>0</v>
      </c>
      <c r="I141" s="169"/>
    </row>
    <row r="142" spans="1:9" ht="17.100000000000001" customHeight="1" x14ac:dyDescent="0.2">
      <c r="A142" s="149"/>
      <c r="B142" s="306" t="s">
        <v>662</v>
      </c>
      <c r="C142" s="306"/>
      <c r="D142" s="154">
        <f>รายเดือน!J14</f>
        <v>0</v>
      </c>
      <c r="E142" s="154"/>
      <c r="F142" s="155"/>
      <c r="G142" s="243" t="s">
        <v>56</v>
      </c>
      <c r="H142" s="156">
        <f>รายเดือน!T56</f>
        <v>0</v>
      </c>
      <c r="I142" s="169"/>
    </row>
    <row r="143" spans="1:9" ht="17.100000000000001" customHeight="1" x14ac:dyDescent="0.2">
      <c r="A143" s="149"/>
      <c r="B143" s="306" t="s">
        <v>136</v>
      </c>
      <c r="C143" s="306"/>
      <c r="D143" s="154">
        <f>รายเดือน!K142</f>
        <v>0</v>
      </c>
      <c r="E143" s="154"/>
      <c r="F143" s="155"/>
      <c r="G143" s="243" t="s">
        <v>57</v>
      </c>
      <c r="H143" s="156">
        <f>รายเดือน!U56</f>
        <v>0</v>
      </c>
      <c r="I143" s="169"/>
    </row>
    <row r="144" spans="1:9" ht="17.100000000000001" customHeight="1" x14ac:dyDescent="0.2">
      <c r="A144" s="149"/>
      <c r="B144" s="306" t="s">
        <v>6</v>
      </c>
      <c r="C144" s="306"/>
      <c r="D144" s="154">
        <v>0</v>
      </c>
      <c r="E144" s="154"/>
      <c r="F144" s="155"/>
      <c r="G144" s="243"/>
      <c r="H144" s="154"/>
      <c r="I144" s="169"/>
    </row>
    <row r="145" spans="1:9" ht="17.100000000000001" customHeight="1" x14ac:dyDescent="0.2">
      <c r="A145" s="149"/>
      <c r="B145" s="306" t="s">
        <v>7</v>
      </c>
      <c r="C145" s="306"/>
      <c r="D145" s="154">
        <v>0</v>
      </c>
      <c r="E145" s="154"/>
      <c r="F145" s="155"/>
      <c r="G145" s="243"/>
      <c r="H145" s="154"/>
      <c r="I145" s="169"/>
    </row>
    <row r="146" spans="1:9" ht="17.100000000000001" customHeight="1" x14ac:dyDescent="0.2">
      <c r="A146" s="149"/>
      <c r="B146" s="307" t="s">
        <v>117</v>
      </c>
      <c r="C146" s="307"/>
      <c r="D146" s="157">
        <f>SUM(D137:D145)</f>
        <v>0</v>
      </c>
      <c r="E146" s="157"/>
      <c r="F146" s="157"/>
      <c r="G146" s="242" t="s">
        <v>118</v>
      </c>
      <c r="H146" s="157">
        <f>SUM(H137:H145)</f>
        <v>0</v>
      </c>
      <c r="I146" s="169"/>
    </row>
    <row r="147" spans="1:9" ht="17.100000000000001" customHeight="1" x14ac:dyDescent="0.2">
      <c r="A147" s="149"/>
      <c r="B147" s="243"/>
      <c r="C147" s="242" t="s">
        <v>103</v>
      </c>
      <c r="D147" s="157">
        <f>D146-H146</f>
        <v>0</v>
      </c>
      <c r="E147" s="157"/>
      <c r="F147" s="158" t="s">
        <v>104</v>
      </c>
      <c r="H147" s="243"/>
      <c r="I147" s="152"/>
    </row>
    <row r="148" spans="1:9" ht="17.100000000000001" customHeight="1" x14ac:dyDescent="0.2">
      <c r="A148" s="149"/>
      <c r="B148" s="243"/>
      <c r="C148" s="307" t="str">
        <f>"("&amp;BAHTTEXT(D147)&amp;")"</f>
        <v>(ศูนย์บาทถ้วน)</v>
      </c>
      <c r="D148" s="307"/>
      <c r="E148" s="307"/>
      <c r="F148" s="307"/>
      <c r="G148" s="307"/>
      <c r="H148" s="243"/>
      <c r="I148" s="152"/>
    </row>
    <row r="149" spans="1:9" ht="17.100000000000001" customHeight="1" x14ac:dyDescent="0.2">
      <c r="A149" s="149"/>
      <c r="B149" s="243"/>
      <c r="C149" s="242"/>
      <c r="D149" s="242"/>
      <c r="E149" s="242"/>
      <c r="F149" s="242"/>
      <c r="G149" s="242"/>
      <c r="H149" s="243"/>
      <c r="I149" s="152"/>
    </row>
    <row r="150" spans="1:9" ht="17.100000000000001" customHeight="1" x14ac:dyDescent="0.2">
      <c r="A150" s="149"/>
      <c r="B150" s="243"/>
      <c r="C150" s="242"/>
      <c r="D150" s="242"/>
      <c r="E150" s="242"/>
      <c r="F150" s="242"/>
      <c r="G150" s="242"/>
      <c r="H150" s="243"/>
      <c r="I150" s="152"/>
    </row>
    <row r="151" spans="1:9" ht="17.100000000000001" customHeight="1" x14ac:dyDescent="0.2">
      <c r="A151" s="149"/>
      <c r="B151" s="243"/>
      <c r="C151" s="243"/>
      <c r="D151" s="243"/>
      <c r="E151" s="243"/>
      <c r="F151" s="243"/>
      <c r="G151" s="243"/>
      <c r="H151" s="243"/>
      <c r="I151" s="152"/>
    </row>
    <row r="152" spans="1:9" ht="17.100000000000001" customHeight="1" x14ac:dyDescent="0.2">
      <c r="A152" s="149"/>
      <c r="B152" s="243"/>
      <c r="C152" s="243"/>
      <c r="D152" s="243"/>
      <c r="E152" s="243"/>
      <c r="F152" s="243"/>
      <c r="G152" s="243"/>
      <c r="H152" s="243"/>
      <c r="I152" s="152"/>
    </row>
    <row r="153" spans="1:9" ht="17.100000000000001" customHeight="1" x14ac:dyDescent="0.2">
      <c r="A153" s="308" t="s">
        <v>315</v>
      </c>
      <c r="B153" s="307"/>
      <c r="C153" s="307"/>
      <c r="D153" s="307"/>
      <c r="E153" s="307"/>
      <c r="F153" s="307"/>
      <c r="G153" s="307"/>
      <c r="H153" s="307"/>
      <c r="I153" s="309"/>
    </row>
    <row r="154" spans="1:9" ht="17.100000000000001" customHeight="1" x14ac:dyDescent="0.2">
      <c r="A154" s="310" t="s">
        <v>298</v>
      </c>
      <c r="B154" s="311"/>
      <c r="C154" s="311"/>
      <c r="D154" s="311"/>
      <c r="E154" s="311"/>
      <c r="F154" s="311"/>
      <c r="G154" s="311"/>
      <c r="H154" s="311"/>
      <c r="I154" s="312"/>
    </row>
    <row r="155" spans="1:9" ht="17.100000000000001" customHeight="1" x14ac:dyDescent="0.2">
      <c r="A155" s="313" t="str">
        <f>A89</f>
        <v>โรงพยาบาลสามโคก  ประจำเดือน  พฤศจิกายน  2568</v>
      </c>
      <c r="B155" s="314"/>
      <c r="C155" s="314"/>
      <c r="D155" s="314"/>
      <c r="E155" s="314"/>
      <c r="F155" s="314"/>
      <c r="G155" s="314"/>
      <c r="H155" s="314"/>
      <c r="I155" s="315"/>
    </row>
    <row r="156" spans="1:9" ht="17.100000000000001" customHeight="1" x14ac:dyDescent="0.2">
      <c r="A156" s="308" t="s">
        <v>616</v>
      </c>
      <c r="B156" s="307"/>
      <c r="C156" s="307"/>
      <c r="D156" s="307"/>
      <c r="E156" s="307"/>
      <c r="F156" s="307"/>
      <c r="G156" s="307"/>
      <c r="H156" s="307"/>
      <c r="I156" s="309"/>
    </row>
    <row r="157" spans="1:9" ht="17.100000000000001" customHeight="1" x14ac:dyDescent="0.2">
      <c r="A157" s="149"/>
      <c r="B157" s="153"/>
      <c r="C157" s="243"/>
      <c r="D157" s="242"/>
      <c r="E157" s="242"/>
      <c r="F157" s="242"/>
      <c r="G157" s="243"/>
      <c r="H157" s="243"/>
      <c r="I157" s="152"/>
    </row>
    <row r="158" spans="1:9" ht="17.100000000000001" customHeight="1" x14ac:dyDescent="0.2">
      <c r="A158" s="149"/>
      <c r="B158" s="307" t="s">
        <v>9</v>
      </c>
      <c r="C158" s="307"/>
      <c r="D158" s="307"/>
      <c r="E158" s="242"/>
      <c r="F158" s="242"/>
      <c r="G158" s="307" t="s">
        <v>10</v>
      </c>
      <c r="H158" s="307"/>
      <c r="I158" s="152"/>
    </row>
    <row r="159" spans="1:9" ht="17.100000000000001" customHeight="1" x14ac:dyDescent="0.2">
      <c r="A159" s="149"/>
      <c r="B159" s="306" t="s">
        <v>3</v>
      </c>
      <c r="C159" s="306"/>
      <c r="D159" s="154">
        <f>รายเดือน!E15</f>
        <v>0</v>
      </c>
      <c r="E159" s="154"/>
      <c r="F159" s="155"/>
      <c r="G159" s="243" t="s">
        <v>99</v>
      </c>
      <c r="H159" s="154">
        <v>0</v>
      </c>
      <c r="I159" s="169"/>
    </row>
    <row r="160" spans="1:9" ht="17.100000000000001" customHeight="1" x14ac:dyDescent="0.2">
      <c r="A160" s="149"/>
      <c r="B160" s="306" t="s">
        <v>106</v>
      </c>
      <c r="C160" s="306"/>
      <c r="D160" s="154">
        <v>0</v>
      </c>
      <c r="E160" s="154"/>
      <c r="F160" s="155"/>
      <c r="G160" s="243" t="s">
        <v>116</v>
      </c>
      <c r="H160" s="154">
        <f>รายเดือน!O15</f>
        <v>0</v>
      </c>
      <c r="I160" s="169"/>
    </row>
    <row r="161" spans="1:9" ht="17.100000000000001" customHeight="1" x14ac:dyDescent="0.2">
      <c r="A161" s="149"/>
      <c r="B161" s="306" t="s">
        <v>107</v>
      </c>
      <c r="C161" s="306"/>
      <c r="D161" s="154">
        <v>0</v>
      </c>
      <c r="E161" s="154"/>
      <c r="F161" s="155"/>
      <c r="G161" s="243" t="s">
        <v>54</v>
      </c>
      <c r="H161" s="154">
        <v>0</v>
      </c>
      <c r="I161" s="169"/>
    </row>
    <row r="162" spans="1:9" ht="17.100000000000001" customHeight="1" x14ac:dyDescent="0.2">
      <c r="A162" s="149"/>
      <c r="B162" s="306" t="s">
        <v>668</v>
      </c>
      <c r="C162" s="306"/>
      <c r="D162" s="154">
        <f>รายเดือน!H15</f>
        <v>0</v>
      </c>
      <c r="E162" s="154"/>
      <c r="F162" s="155"/>
      <c r="G162" s="243" t="s">
        <v>100</v>
      </c>
      <c r="H162" s="154">
        <v>0</v>
      </c>
      <c r="I162" s="169"/>
    </row>
    <row r="163" spans="1:9" ht="17.100000000000001" customHeight="1" x14ac:dyDescent="0.2">
      <c r="A163" s="149"/>
      <c r="B163" s="306" t="s">
        <v>291</v>
      </c>
      <c r="C163" s="306"/>
      <c r="D163" s="154">
        <f>รายเดือน!I78</f>
        <v>0</v>
      </c>
      <c r="E163" s="154"/>
      <c r="F163" s="155"/>
      <c r="G163" s="243" t="s">
        <v>377</v>
      </c>
      <c r="H163" s="156">
        <f>รายเดือน!S78</f>
        <v>0</v>
      </c>
      <c r="I163" s="169"/>
    </row>
    <row r="164" spans="1:9" ht="17.100000000000001" customHeight="1" x14ac:dyDescent="0.2">
      <c r="A164" s="149"/>
      <c r="B164" s="306" t="s">
        <v>662</v>
      </c>
      <c r="C164" s="306"/>
      <c r="D164" s="154">
        <f>รายเดือน!J15</f>
        <v>0</v>
      </c>
      <c r="E164" s="154"/>
      <c r="F164" s="155"/>
      <c r="G164" s="243" t="s">
        <v>56</v>
      </c>
      <c r="H164" s="156">
        <f>รายเดือน!T78</f>
        <v>0</v>
      </c>
      <c r="I164" s="169"/>
    </row>
    <row r="165" spans="1:9" ht="17.100000000000001" customHeight="1" x14ac:dyDescent="0.2">
      <c r="A165" s="149"/>
      <c r="B165" s="306" t="s">
        <v>136</v>
      </c>
      <c r="C165" s="306"/>
      <c r="D165" s="154">
        <f>รายเดือน!K164</f>
        <v>0</v>
      </c>
      <c r="E165" s="154"/>
      <c r="F165" s="155"/>
      <c r="G165" s="243" t="s">
        <v>57</v>
      </c>
      <c r="H165" s="156">
        <f>รายเดือน!U78</f>
        <v>0</v>
      </c>
      <c r="I165" s="169"/>
    </row>
    <row r="166" spans="1:9" ht="17.100000000000001" customHeight="1" x14ac:dyDescent="0.2">
      <c r="A166" s="149"/>
      <c r="B166" s="306" t="s">
        <v>6</v>
      </c>
      <c r="C166" s="306"/>
      <c r="D166" s="154">
        <v>0</v>
      </c>
      <c r="E166" s="154"/>
      <c r="F166" s="155"/>
      <c r="G166" s="243"/>
      <c r="H166" s="154"/>
      <c r="I166" s="169"/>
    </row>
    <row r="167" spans="1:9" ht="17.100000000000001" customHeight="1" x14ac:dyDescent="0.2">
      <c r="A167" s="149"/>
      <c r="B167" s="306" t="s">
        <v>7</v>
      </c>
      <c r="C167" s="306"/>
      <c r="D167" s="154">
        <v>0</v>
      </c>
      <c r="E167" s="154"/>
      <c r="F167" s="155"/>
      <c r="G167" s="243"/>
      <c r="H167" s="154"/>
      <c r="I167" s="169"/>
    </row>
    <row r="168" spans="1:9" ht="17.100000000000001" customHeight="1" x14ac:dyDescent="0.2">
      <c r="A168" s="149"/>
      <c r="B168" s="307" t="s">
        <v>117</v>
      </c>
      <c r="C168" s="307"/>
      <c r="D168" s="157">
        <f>SUM(D159:D167)</f>
        <v>0</v>
      </c>
      <c r="E168" s="157"/>
      <c r="F168" s="157"/>
      <c r="G168" s="242" t="s">
        <v>118</v>
      </c>
      <c r="H168" s="157">
        <f>SUM(H159:H167)</f>
        <v>0</v>
      </c>
      <c r="I168" s="169"/>
    </row>
    <row r="169" spans="1:9" ht="17.100000000000001" customHeight="1" x14ac:dyDescent="0.2">
      <c r="A169" s="149"/>
      <c r="B169" s="243"/>
      <c r="C169" s="242" t="s">
        <v>103</v>
      </c>
      <c r="D169" s="157">
        <f>D168-H168</f>
        <v>0</v>
      </c>
      <c r="E169" s="157"/>
      <c r="F169" s="158" t="s">
        <v>104</v>
      </c>
      <c r="H169" s="243"/>
      <c r="I169" s="152"/>
    </row>
    <row r="170" spans="1:9" ht="17.100000000000001" customHeight="1" x14ac:dyDescent="0.2">
      <c r="A170" s="149"/>
      <c r="B170" s="243"/>
      <c r="C170" s="307" t="str">
        <f>"("&amp;BAHTTEXT(D169)&amp;")"</f>
        <v>(ศูนย์บาทถ้วน)</v>
      </c>
      <c r="D170" s="307"/>
      <c r="E170" s="307"/>
      <c r="F170" s="307"/>
      <c r="G170" s="307"/>
      <c r="H170" s="243"/>
      <c r="I170" s="152"/>
    </row>
    <row r="171" spans="1:9" ht="17.100000000000001" customHeight="1" x14ac:dyDescent="0.2">
      <c r="A171" s="149"/>
      <c r="B171" s="243"/>
      <c r="C171" s="242"/>
      <c r="D171" s="242"/>
      <c r="E171" s="242"/>
      <c r="F171" s="242"/>
      <c r="G171" s="242"/>
      <c r="H171" s="243"/>
      <c r="I171" s="152"/>
    </row>
    <row r="172" spans="1:9" ht="17.100000000000001" customHeight="1" x14ac:dyDescent="0.2">
      <c r="A172" s="149"/>
      <c r="B172" s="243"/>
      <c r="C172" s="242"/>
      <c r="D172" s="242"/>
      <c r="E172" s="242"/>
      <c r="F172" s="242"/>
      <c r="G172" s="242"/>
      <c r="H172" s="243"/>
      <c r="I172" s="152"/>
    </row>
    <row r="173" spans="1:9" ht="17.100000000000001" customHeight="1" x14ac:dyDescent="0.2">
      <c r="A173" s="149"/>
      <c r="B173" s="243"/>
      <c r="C173" s="243"/>
      <c r="D173" s="243"/>
      <c r="E173" s="243"/>
      <c r="F173" s="243"/>
      <c r="G173" s="243"/>
      <c r="H173" s="243"/>
      <c r="I173" s="152"/>
    </row>
    <row r="174" spans="1:9" ht="17.100000000000001" customHeight="1" x14ac:dyDescent="0.2">
      <c r="A174" s="149"/>
      <c r="B174" s="243"/>
      <c r="C174" s="243"/>
      <c r="D174" s="243"/>
      <c r="E174" s="243"/>
      <c r="F174" s="243"/>
      <c r="G174" s="243"/>
      <c r="H174" s="243"/>
      <c r="I174" s="152"/>
    </row>
    <row r="175" spans="1:9" ht="17.100000000000001" customHeight="1" x14ac:dyDescent="0.2">
      <c r="A175" s="308" t="s">
        <v>315</v>
      </c>
      <c r="B175" s="307"/>
      <c r="C175" s="307"/>
      <c r="D175" s="307"/>
      <c r="E175" s="307"/>
      <c r="F175" s="307"/>
      <c r="G175" s="307"/>
      <c r="H175" s="307"/>
      <c r="I175" s="309"/>
    </row>
    <row r="176" spans="1:9" ht="17.100000000000001" customHeight="1" x14ac:dyDescent="0.2">
      <c r="A176" s="310" t="s">
        <v>298</v>
      </c>
      <c r="B176" s="311"/>
      <c r="C176" s="311"/>
      <c r="D176" s="311"/>
      <c r="E176" s="311"/>
      <c r="F176" s="311"/>
      <c r="G176" s="311"/>
      <c r="H176" s="311"/>
      <c r="I176" s="312"/>
    </row>
    <row r="177" spans="1:9" ht="17.100000000000001" customHeight="1" x14ac:dyDescent="0.2">
      <c r="A177" s="313" t="str">
        <f>A111</f>
        <v>โรงพยาบาลสามโคก  ประจำเดือน  พฤศจิกายน  2568</v>
      </c>
      <c r="B177" s="314"/>
      <c r="C177" s="314"/>
      <c r="D177" s="314"/>
      <c r="E177" s="314"/>
      <c r="F177" s="314"/>
      <c r="G177" s="314"/>
      <c r="H177" s="314"/>
      <c r="I177" s="315"/>
    </row>
    <row r="178" spans="1:9" ht="17.100000000000001" customHeight="1" x14ac:dyDescent="0.2">
      <c r="A178" s="308" t="s">
        <v>617</v>
      </c>
      <c r="B178" s="307"/>
      <c r="C178" s="307"/>
      <c r="D178" s="307"/>
      <c r="E178" s="307"/>
      <c r="F178" s="307"/>
      <c r="G178" s="307"/>
      <c r="H178" s="307"/>
      <c r="I178" s="309"/>
    </row>
    <row r="179" spans="1:9" ht="17.100000000000001" customHeight="1" x14ac:dyDescent="0.2">
      <c r="A179" s="149"/>
      <c r="B179" s="153"/>
      <c r="C179" s="243"/>
      <c r="D179" s="242"/>
      <c r="E179" s="242"/>
      <c r="F179" s="242"/>
      <c r="G179" s="243"/>
      <c r="H179" s="243"/>
      <c r="I179" s="152"/>
    </row>
    <row r="180" spans="1:9" ht="17.100000000000001" customHeight="1" x14ac:dyDescent="0.2">
      <c r="A180" s="149"/>
      <c r="B180" s="307" t="s">
        <v>9</v>
      </c>
      <c r="C180" s="307"/>
      <c r="D180" s="307"/>
      <c r="E180" s="242"/>
      <c r="F180" s="242"/>
      <c r="G180" s="307" t="s">
        <v>10</v>
      </c>
      <c r="H180" s="307"/>
      <c r="I180" s="152"/>
    </row>
    <row r="181" spans="1:9" ht="17.100000000000001" customHeight="1" x14ac:dyDescent="0.2">
      <c r="A181" s="149"/>
      <c r="B181" s="306" t="s">
        <v>3</v>
      </c>
      <c r="C181" s="306"/>
      <c r="D181" s="154">
        <f>รายเดือน!E16</f>
        <v>0</v>
      </c>
      <c r="E181" s="154"/>
      <c r="F181" s="155"/>
      <c r="G181" s="243" t="s">
        <v>99</v>
      </c>
      <c r="H181" s="154">
        <v>0</v>
      </c>
      <c r="I181" s="169"/>
    </row>
    <row r="182" spans="1:9" ht="17.100000000000001" customHeight="1" x14ac:dyDescent="0.2">
      <c r="A182" s="149"/>
      <c r="B182" s="306" t="s">
        <v>106</v>
      </c>
      <c r="C182" s="306"/>
      <c r="D182" s="154">
        <v>0</v>
      </c>
      <c r="E182" s="154"/>
      <c r="F182" s="155"/>
      <c r="G182" s="243" t="s">
        <v>116</v>
      </c>
      <c r="H182" s="154">
        <f>รายเดือน!O16</f>
        <v>0</v>
      </c>
      <c r="I182" s="169"/>
    </row>
    <row r="183" spans="1:9" ht="17.100000000000001" customHeight="1" x14ac:dyDescent="0.2">
      <c r="A183" s="149"/>
      <c r="B183" s="306" t="s">
        <v>107</v>
      </c>
      <c r="C183" s="306"/>
      <c r="D183" s="154">
        <v>0</v>
      </c>
      <c r="E183" s="154"/>
      <c r="F183" s="155"/>
      <c r="G183" s="243" t="s">
        <v>54</v>
      </c>
      <c r="H183" s="154">
        <v>0</v>
      </c>
      <c r="I183" s="169"/>
    </row>
    <row r="184" spans="1:9" ht="17.100000000000001" customHeight="1" x14ac:dyDescent="0.2">
      <c r="A184" s="149"/>
      <c r="B184" s="306" t="s">
        <v>668</v>
      </c>
      <c r="C184" s="306"/>
      <c r="D184" s="154">
        <f>รายเดือน!H16</f>
        <v>0</v>
      </c>
      <c r="E184" s="154"/>
      <c r="F184" s="155"/>
      <c r="G184" s="243" t="s">
        <v>100</v>
      </c>
      <c r="H184" s="154">
        <v>0</v>
      </c>
      <c r="I184" s="169"/>
    </row>
    <row r="185" spans="1:9" ht="17.100000000000001" customHeight="1" x14ac:dyDescent="0.2">
      <c r="A185" s="149"/>
      <c r="B185" s="306" t="s">
        <v>291</v>
      </c>
      <c r="C185" s="306"/>
      <c r="D185" s="154">
        <f>รายเดือน!I100</f>
        <v>0</v>
      </c>
      <c r="E185" s="154"/>
      <c r="F185" s="155"/>
      <c r="G185" s="243" t="s">
        <v>377</v>
      </c>
      <c r="H185" s="156">
        <f>รายเดือน!S16</f>
        <v>0</v>
      </c>
      <c r="I185" s="169"/>
    </row>
    <row r="186" spans="1:9" ht="17.100000000000001" customHeight="1" x14ac:dyDescent="0.2">
      <c r="A186" s="149"/>
      <c r="B186" s="306" t="s">
        <v>662</v>
      </c>
      <c r="C186" s="306"/>
      <c r="D186" s="154">
        <f>รายเดือน!J16</f>
        <v>0</v>
      </c>
      <c r="E186" s="154"/>
      <c r="F186" s="155"/>
      <c r="G186" s="243" t="s">
        <v>56</v>
      </c>
      <c r="H186" s="156">
        <f>รายเดือน!T100</f>
        <v>0</v>
      </c>
      <c r="I186" s="169"/>
    </row>
    <row r="187" spans="1:9" ht="17.100000000000001" customHeight="1" x14ac:dyDescent="0.2">
      <c r="A187" s="149"/>
      <c r="B187" s="306" t="s">
        <v>136</v>
      </c>
      <c r="C187" s="306"/>
      <c r="D187" s="154">
        <f>รายเดือน!K186</f>
        <v>0</v>
      </c>
      <c r="E187" s="154"/>
      <c r="F187" s="155"/>
      <c r="G187" s="243" t="s">
        <v>57</v>
      </c>
      <c r="H187" s="156">
        <f>รายเดือน!U100</f>
        <v>0</v>
      </c>
      <c r="I187" s="169"/>
    </row>
    <row r="188" spans="1:9" ht="17.100000000000001" customHeight="1" x14ac:dyDescent="0.2">
      <c r="A188" s="149"/>
      <c r="B188" s="306" t="s">
        <v>6</v>
      </c>
      <c r="C188" s="306"/>
      <c r="D188" s="154">
        <v>0</v>
      </c>
      <c r="E188" s="154"/>
      <c r="F188" s="155"/>
      <c r="G188" s="243"/>
      <c r="H188" s="154"/>
      <c r="I188" s="169"/>
    </row>
    <row r="189" spans="1:9" ht="17.100000000000001" customHeight="1" x14ac:dyDescent="0.2">
      <c r="A189" s="149"/>
      <c r="B189" s="306" t="s">
        <v>7</v>
      </c>
      <c r="C189" s="306"/>
      <c r="D189" s="154">
        <v>0</v>
      </c>
      <c r="E189" s="154"/>
      <c r="F189" s="155"/>
      <c r="G189" s="243"/>
      <c r="H189" s="154"/>
      <c r="I189" s="169"/>
    </row>
    <row r="190" spans="1:9" ht="17.100000000000001" customHeight="1" x14ac:dyDescent="0.2">
      <c r="A190" s="149"/>
      <c r="B190" s="307" t="s">
        <v>117</v>
      </c>
      <c r="C190" s="307"/>
      <c r="D190" s="157">
        <f>SUM(D181:D189)</f>
        <v>0</v>
      </c>
      <c r="E190" s="157"/>
      <c r="F190" s="157"/>
      <c r="G190" s="242" t="s">
        <v>118</v>
      </c>
      <c r="H190" s="157">
        <f>SUM(H181:H189)</f>
        <v>0</v>
      </c>
      <c r="I190" s="169"/>
    </row>
    <row r="191" spans="1:9" ht="17.100000000000001" customHeight="1" x14ac:dyDescent="0.2">
      <c r="A191" s="149"/>
      <c r="B191" s="243"/>
      <c r="C191" s="242" t="s">
        <v>103</v>
      </c>
      <c r="D191" s="157">
        <f>D190-H190</f>
        <v>0</v>
      </c>
      <c r="E191" s="157"/>
      <c r="F191" s="158" t="s">
        <v>104</v>
      </c>
      <c r="H191" s="243"/>
      <c r="I191" s="152"/>
    </row>
    <row r="192" spans="1:9" ht="17.100000000000001" customHeight="1" x14ac:dyDescent="0.2">
      <c r="A192" s="149"/>
      <c r="B192" s="243"/>
      <c r="C192" s="307" t="str">
        <f>"("&amp;BAHTTEXT(D191)&amp;")"</f>
        <v>(ศูนย์บาทถ้วน)</v>
      </c>
      <c r="D192" s="307"/>
      <c r="E192" s="307"/>
      <c r="F192" s="307"/>
      <c r="G192" s="307"/>
      <c r="H192" s="243"/>
      <c r="I192" s="152"/>
    </row>
    <row r="193" spans="1:9" ht="17.100000000000001" customHeight="1" x14ac:dyDescent="0.2">
      <c r="A193" s="149"/>
      <c r="B193" s="243"/>
      <c r="C193" s="242"/>
      <c r="D193" s="242"/>
      <c r="E193" s="242"/>
      <c r="F193" s="242"/>
      <c r="G193" s="242"/>
      <c r="H193" s="243"/>
      <c r="I193" s="152"/>
    </row>
    <row r="194" spans="1:9" ht="17.100000000000001" customHeight="1" x14ac:dyDescent="0.2">
      <c r="A194" s="149"/>
      <c r="B194" s="243"/>
      <c r="C194" s="242"/>
      <c r="D194" s="242"/>
      <c r="E194" s="242"/>
      <c r="F194" s="242"/>
      <c r="G194" s="242"/>
      <c r="H194" s="243"/>
      <c r="I194" s="152"/>
    </row>
    <row r="195" spans="1:9" ht="17.100000000000001" customHeight="1" x14ac:dyDescent="0.2">
      <c r="A195" s="149"/>
      <c r="B195" s="243"/>
      <c r="C195" s="243"/>
      <c r="D195" s="243"/>
      <c r="E195" s="243"/>
      <c r="F195" s="243"/>
      <c r="G195" s="243"/>
      <c r="H195" s="243"/>
      <c r="I195" s="152"/>
    </row>
    <row r="196" spans="1:9" ht="17.100000000000001" customHeight="1" x14ac:dyDescent="0.2">
      <c r="A196" s="149"/>
      <c r="B196" s="243"/>
      <c r="C196" s="243"/>
      <c r="D196" s="243"/>
      <c r="E196" s="243"/>
      <c r="F196" s="243"/>
      <c r="G196" s="243"/>
      <c r="H196" s="243"/>
      <c r="I196" s="152"/>
    </row>
    <row r="197" spans="1:9" ht="17.100000000000001" customHeight="1" x14ac:dyDescent="0.2">
      <c r="A197" s="308" t="s">
        <v>315</v>
      </c>
      <c r="B197" s="307"/>
      <c r="C197" s="307"/>
      <c r="D197" s="307"/>
      <c r="E197" s="307"/>
      <c r="F197" s="307"/>
      <c r="G197" s="307"/>
      <c r="H197" s="307"/>
      <c r="I197" s="309"/>
    </row>
    <row r="198" spans="1:9" ht="17.100000000000001" customHeight="1" x14ac:dyDescent="0.2">
      <c r="A198" s="310" t="s">
        <v>298</v>
      </c>
      <c r="B198" s="311"/>
      <c r="C198" s="311"/>
      <c r="D198" s="311"/>
      <c r="E198" s="311"/>
      <c r="F198" s="311"/>
      <c r="G198" s="311"/>
      <c r="H198" s="311"/>
      <c r="I198" s="312"/>
    </row>
    <row r="199" spans="1:9" ht="17.100000000000001" customHeight="1" x14ac:dyDescent="0.2">
      <c r="A199" s="313" t="str">
        <f>A133</f>
        <v>โรงพยาบาลสามโคก  ประจำเดือน  พฤศจิกายน  2568</v>
      </c>
      <c r="B199" s="314"/>
      <c r="C199" s="314"/>
      <c r="D199" s="314"/>
      <c r="E199" s="314"/>
      <c r="F199" s="314"/>
      <c r="G199" s="314"/>
      <c r="H199" s="314"/>
      <c r="I199" s="315"/>
    </row>
    <row r="200" spans="1:9" ht="17.100000000000001" customHeight="1" x14ac:dyDescent="0.2">
      <c r="A200" s="308" t="s">
        <v>618</v>
      </c>
      <c r="B200" s="307"/>
      <c r="C200" s="307"/>
      <c r="D200" s="307"/>
      <c r="E200" s="307"/>
      <c r="F200" s="307"/>
      <c r="G200" s="307"/>
      <c r="H200" s="307"/>
      <c r="I200" s="309"/>
    </row>
    <row r="201" spans="1:9" ht="17.100000000000001" customHeight="1" x14ac:dyDescent="0.2">
      <c r="A201" s="149"/>
      <c r="B201" s="153"/>
      <c r="C201" s="243"/>
      <c r="D201" s="242"/>
      <c r="E201" s="242"/>
      <c r="F201" s="242"/>
      <c r="G201" s="243"/>
      <c r="H201" s="243"/>
      <c r="I201" s="152"/>
    </row>
    <row r="202" spans="1:9" ht="17.100000000000001" customHeight="1" x14ac:dyDescent="0.2">
      <c r="A202" s="149"/>
      <c r="B202" s="307" t="s">
        <v>9</v>
      </c>
      <c r="C202" s="307"/>
      <c r="D202" s="307"/>
      <c r="E202" s="242"/>
      <c r="F202" s="242"/>
      <c r="G202" s="307" t="s">
        <v>10</v>
      </c>
      <c r="H202" s="307"/>
      <c r="I202" s="152"/>
    </row>
    <row r="203" spans="1:9" ht="17.100000000000001" customHeight="1" x14ac:dyDescent="0.2">
      <c r="A203" s="149"/>
      <c r="B203" s="306" t="s">
        <v>3</v>
      </c>
      <c r="C203" s="306"/>
      <c r="D203" s="154">
        <f>รายเดือน!E17</f>
        <v>0</v>
      </c>
      <c r="E203" s="154"/>
      <c r="F203" s="155"/>
      <c r="G203" s="243" t="s">
        <v>99</v>
      </c>
      <c r="H203" s="154">
        <v>0</v>
      </c>
      <c r="I203" s="169"/>
    </row>
    <row r="204" spans="1:9" ht="17.100000000000001" customHeight="1" x14ac:dyDescent="0.2">
      <c r="A204" s="149"/>
      <c r="B204" s="306" t="s">
        <v>106</v>
      </c>
      <c r="C204" s="306"/>
      <c r="D204" s="154">
        <v>0</v>
      </c>
      <c r="E204" s="154"/>
      <c r="F204" s="155"/>
      <c r="G204" s="243" t="s">
        <v>116</v>
      </c>
      <c r="H204" s="154">
        <f>รายเดือน!O17</f>
        <v>0</v>
      </c>
      <c r="I204" s="169"/>
    </row>
    <row r="205" spans="1:9" ht="17.100000000000001" customHeight="1" x14ac:dyDescent="0.2">
      <c r="A205" s="149"/>
      <c r="B205" s="306" t="s">
        <v>107</v>
      </c>
      <c r="C205" s="306"/>
      <c r="D205" s="154">
        <v>0</v>
      </c>
      <c r="E205" s="154"/>
      <c r="F205" s="155"/>
      <c r="G205" s="243" t="s">
        <v>54</v>
      </c>
      <c r="H205" s="154">
        <v>0</v>
      </c>
      <c r="I205" s="169"/>
    </row>
    <row r="206" spans="1:9" ht="17.100000000000001" customHeight="1" x14ac:dyDescent="0.2">
      <c r="A206" s="149"/>
      <c r="B206" s="306" t="s">
        <v>130</v>
      </c>
      <c r="C206" s="306"/>
      <c r="D206" s="154">
        <f>รายเดือน!H80</f>
        <v>0</v>
      </c>
      <c r="E206" s="154"/>
      <c r="F206" s="155"/>
      <c r="G206" s="243" t="s">
        <v>100</v>
      </c>
      <c r="H206" s="154">
        <v>0</v>
      </c>
      <c r="I206" s="169"/>
    </row>
    <row r="207" spans="1:9" ht="17.100000000000001" customHeight="1" x14ac:dyDescent="0.2">
      <c r="A207" s="149"/>
      <c r="B207" s="306" t="s">
        <v>661</v>
      </c>
      <c r="C207" s="306"/>
      <c r="D207" s="154">
        <f>รายเดือน!I17</f>
        <v>0</v>
      </c>
      <c r="E207" s="154"/>
      <c r="F207" s="155"/>
      <c r="G207" s="243" t="s">
        <v>377</v>
      </c>
      <c r="H207" s="156">
        <f>รายเดือน!S122</f>
        <v>0</v>
      </c>
      <c r="I207" s="169"/>
    </row>
    <row r="208" spans="1:9" ht="17.100000000000001" customHeight="1" x14ac:dyDescent="0.2">
      <c r="A208" s="149"/>
      <c r="B208" s="306" t="s">
        <v>662</v>
      </c>
      <c r="C208" s="306"/>
      <c r="D208" s="154">
        <f>รายเดือน!J17</f>
        <v>0</v>
      </c>
      <c r="E208" s="154"/>
      <c r="F208" s="155"/>
      <c r="G208" s="243" t="s">
        <v>56</v>
      </c>
      <c r="H208" s="156">
        <f>รายเดือน!T122</f>
        <v>0</v>
      </c>
      <c r="I208" s="169"/>
    </row>
    <row r="209" spans="1:9" ht="17.100000000000001" customHeight="1" x14ac:dyDescent="0.2">
      <c r="A209" s="149"/>
      <c r="B209" s="306" t="s">
        <v>136</v>
      </c>
      <c r="C209" s="306"/>
      <c r="D209" s="154">
        <f>รายเดือน!K208</f>
        <v>0</v>
      </c>
      <c r="E209" s="154"/>
      <c r="F209" s="155"/>
      <c r="G209" s="243" t="s">
        <v>57</v>
      </c>
      <c r="H209" s="156">
        <f>รายเดือน!U122</f>
        <v>0</v>
      </c>
      <c r="I209" s="169"/>
    </row>
    <row r="210" spans="1:9" ht="17.100000000000001" customHeight="1" x14ac:dyDescent="0.2">
      <c r="A210" s="149"/>
      <c r="B210" s="306" t="s">
        <v>6</v>
      </c>
      <c r="C210" s="306"/>
      <c r="D210" s="154">
        <v>0</v>
      </c>
      <c r="E210" s="154"/>
      <c r="F210" s="155"/>
      <c r="G210" s="243"/>
      <c r="H210" s="154"/>
      <c r="I210" s="169"/>
    </row>
    <row r="211" spans="1:9" ht="17.100000000000001" customHeight="1" x14ac:dyDescent="0.2">
      <c r="A211" s="149"/>
      <c r="B211" s="306" t="s">
        <v>7</v>
      </c>
      <c r="C211" s="306"/>
      <c r="D211" s="154">
        <v>0</v>
      </c>
      <c r="E211" s="154"/>
      <c r="F211" s="155"/>
      <c r="G211" s="243"/>
      <c r="H211" s="154"/>
      <c r="I211" s="169"/>
    </row>
    <row r="212" spans="1:9" ht="17.100000000000001" customHeight="1" x14ac:dyDescent="0.2">
      <c r="A212" s="149"/>
      <c r="B212" s="307" t="s">
        <v>117</v>
      </c>
      <c r="C212" s="307"/>
      <c r="D212" s="157">
        <f>SUM(D203:D211)</f>
        <v>0</v>
      </c>
      <c r="E212" s="157"/>
      <c r="F212" s="157"/>
      <c r="G212" s="242" t="s">
        <v>118</v>
      </c>
      <c r="H212" s="157">
        <f>SUM(H203:H211)</f>
        <v>0</v>
      </c>
      <c r="I212" s="169"/>
    </row>
    <row r="213" spans="1:9" ht="17.100000000000001" customHeight="1" x14ac:dyDescent="0.2">
      <c r="A213" s="149"/>
      <c r="B213" s="243"/>
      <c r="C213" s="242" t="s">
        <v>103</v>
      </c>
      <c r="D213" s="157">
        <f>D212-H212</f>
        <v>0</v>
      </c>
      <c r="E213" s="157"/>
      <c r="F213" s="158" t="s">
        <v>104</v>
      </c>
      <c r="H213" s="243"/>
      <c r="I213" s="152"/>
    </row>
    <row r="214" spans="1:9" ht="17.100000000000001" customHeight="1" x14ac:dyDescent="0.2">
      <c r="A214" s="149"/>
      <c r="B214" s="243"/>
      <c r="C214" s="307" t="str">
        <f>"("&amp;BAHTTEXT(D213)&amp;")"</f>
        <v>(ศูนย์บาทถ้วน)</v>
      </c>
      <c r="D214" s="307"/>
      <c r="E214" s="307"/>
      <c r="F214" s="307"/>
      <c r="G214" s="307"/>
      <c r="H214" s="243"/>
      <c r="I214" s="152"/>
    </row>
    <row r="215" spans="1:9" ht="17.100000000000001" customHeight="1" x14ac:dyDescent="0.2">
      <c r="A215" s="149"/>
      <c r="B215" s="243"/>
      <c r="C215" s="242"/>
      <c r="D215" s="242"/>
      <c r="E215" s="242"/>
      <c r="F215" s="242"/>
      <c r="G215" s="242"/>
      <c r="H215" s="243"/>
      <c r="I215" s="152"/>
    </row>
    <row r="216" spans="1:9" ht="17.100000000000001" customHeight="1" x14ac:dyDescent="0.2">
      <c r="A216" s="149"/>
      <c r="B216" s="243"/>
      <c r="C216" s="242"/>
      <c r="D216" s="242"/>
      <c r="E216" s="242"/>
      <c r="F216" s="242"/>
      <c r="G216" s="242"/>
      <c r="H216" s="243"/>
      <c r="I216" s="152"/>
    </row>
    <row r="217" spans="1:9" ht="17.100000000000001" customHeight="1" x14ac:dyDescent="0.2">
      <c r="A217" s="149"/>
      <c r="B217" s="243"/>
      <c r="C217" s="243"/>
      <c r="D217" s="243"/>
      <c r="E217" s="243"/>
      <c r="F217" s="243"/>
      <c r="G217" s="243"/>
      <c r="H217" s="243"/>
      <c r="I217" s="152"/>
    </row>
    <row r="218" spans="1:9" ht="17.100000000000001" customHeight="1" x14ac:dyDescent="0.2">
      <c r="A218" s="149"/>
      <c r="B218" s="243"/>
      <c r="C218" s="243"/>
      <c r="D218" s="243"/>
      <c r="E218" s="243"/>
      <c r="F218" s="243"/>
      <c r="G218" s="243"/>
      <c r="H218" s="243"/>
      <c r="I218" s="152"/>
    </row>
    <row r="219" spans="1:9" ht="17.100000000000001" customHeight="1" x14ac:dyDescent="0.2">
      <c r="A219" s="308" t="s">
        <v>315</v>
      </c>
      <c r="B219" s="307"/>
      <c r="C219" s="307"/>
      <c r="D219" s="307"/>
      <c r="E219" s="307"/>
      <c r="F219" s="307"/>
      <c r="G219" s="307"/>
      <c r="H219" s="307"/>
      <c r="I219" s="309"/>
    </row>
    <row r="220" spans="1:9" ht="17.100000000000001" customHeight="1" x14ac:dyDescent="0.2">
      <c r="A220" s="310" t="s">
        <v>298</v>
      </c>
      <c r="B220" s="311"/>
      <c r="C220" s="311"/>
      <c r="D220" s="311"/>
      <c r="E220" s="311"/>
      <c r="F220" s="311"/>
      <c r="G220" s="311"/>
      <c r="H220" s="311"/>
      <c r="I220" s="312"/>
    </row>
    <row r="221" spans="1:9" ht="17.100000000000001" customHeight="1" x14ac:dyDescent="0.2">
      <c r="A221" s="313" t="str">
        <f>A155</f>
        <v>โรงพยาบาลสามโคก  ประจำเดือน  พฤศจิกายน  2568</v>
      </c>
      <c r="B221" s="314"/>
      <c r="C221" s="314"/>
      <c r="D221" s="314"/>
      <c r="E221" s="314"/>
      <c r="F221" s="314"/>
      <c r="G221" s="314"/>
      <c r="H221" s="314"/>
      <c r="I221" s="315"/>
    </row>
    <row r="222" spans="1:9" ht="17.100000000000001" customHeight="1" x14ac:dyDescent="0.2">
      <c r="A222" s="308" t="s">
        <v>619</v>
      </c>
      <c r="B222" s="307"/>
      <c r="C222" s="307"/>
      <c r="D222" s="307"/>
      <c r="E222" s="307"/>
      <c r="F222" s="307"/>
      <c r="G222" s="307"/>
      <c r="H222" s="307"/>
      <c r="I222" s="309"/>
    </row>
    <row r="223" spans="1:9" ht="17.100000000000001" customHeight="1" x14ac:dyDescent="0.2">
      <c r="A223" s="149"/>
      <c r="B223" s="153"/>
      <c r="C223" s="243"/>
      <c r="D223" s="242"/>
      <c r="E223" s="242"/>
      <c r="F223" s="242"/>
      <c r="G223" s="243"/>
      <c r="H223" s="243"/>
      <c r="I223" s="152"/>
    </row>
    <row r="224" spans="1:9" ht="17.100000000000001" customHeight="1" x14ac:dyDescent="0.2">
      <c r="A224" s="149"/>
      <c r="B224" s="307" t="s">
        <v>9</v>
      </c>
      <c r="C224" s="307"/>
      <c r="D224" s="307"/>
      <c r="E224" s="242"/>
      <c r="F224" s="242"/>
      <c r="G224" s="307" t="s">
        <v>10</v>
      </c>
      <c r="H224" s="307"/>
      <c r="I224" s="152"/>
    </row>
    <row r="225" spans="1:9" ht="17.100000000000001" customHeight="1" x14ac:dyDescent="0.2">
      <c r="A225" s="149"/>
      <c r="B225" s="306" t="s">
        <v>3</v>
      </c>
      <c r="C225" s="306"/>
      <c r="D225" s="154">
        <f>รายเดือน!E18</f>
        <v>0</v>
      </c>
      <c r="E225" s="154"/>
      <c r="F225" s="155"/>
      <c r="G225" s="243" t="s">
        <v>99</v>
      </c>
      <c r="H225" s="154">
        <v>0</v>
      </c>
      <c r="I225" s="169"/>
    </row>
    <row r="226" spans="1:9" ht="17.100000000000001" customHeight="1" x14ac:dyDescent="0.2">
      <c r="A226" s="149"/>
      <c r="B226" s="306" t="s">
        <v>106</v>
      </c>
      <c r="C226" s="306"/>
      <c r="D226" s="154">
        <v>0</v>
      </c>
      <c r="E226" s="154"/>
      <c r="F226" s="155"/>
      <c r="G226" s="243" t="s">
        <v>116</v>
      </c>
      <c r="H226" s="154">
        <f>รายเดือน!O18</f>
        <v>0</v>
      </c>
      <c r="I226" s="169"/>
    </row>
    <row r="227" spans="1:9" ht="17.100000000000001" customHeight="1" x14ac:dyDescent="0.2">
      <c r="A227" s="149"/>
      <c r="B227" s="306" t="s">
        <v>107</v>
      </c>
      <c r="C227" s="306"/>
      <c r="D227" s="154">
        <v>0</v>
      </c>
      <c r="E227" s="154"/>
      <c r="F227" s="155"/>
      <c r="G227" s="243" t="s">
        <v>54</v>
      </c>
      <c r="H227" s="154">
        <v>0</v>
      </c>
      <c r="I227" s="169"/>
    </row>
    <row r="228" spans="1:9" ht="17.100000000000001" customHeight="1" x14ac:dyDescent="0.2">
      <c r="A228" s="149"/>
      <c r="B228" s="306" t="s">
        <v>130</v>
      </c>
      <c r="C228" s="306"/>
      <c r="D228" s="154">
        <f>รายเดือน!H102</f>
        <v>0</v>
      </c>
      <c r="E228" s="154"/>
      <c r="F228" s="155"/>
      <c r="G228" s="243" t="s">
        <v>100</v>
      </c>
      <c r="H228" s="154">
        <v>0</v>
      </c>
      <c r="I228" s="169"/>
    </row>
    <row r="229" spans="1:9" ht="17.100000000000001" customHeight="1" x14ac:dyDescent="0.2">
      <c r="A229" s="149"/>
      <c r="B229" s="306" t="s">
        <v>661</v>
      </c>
      <c r="C229" s="306"/>
      <c r="D229" s="154">
        <f>รายเดือน!I18</f>
        <v>0</v>
      </c>
      <c r="E229" s="154"/>
      <c r="F229" s="155"/>
      <c r="G229" s="243" t="s">
        <v>377</v>
      </c>
      <c r="H229" s="156">
        <f>รายเดือน!S144</f>
        <v>0</v>
      </c>
      <c r="I229" s="169"/>
    </row>
    <row r="230" spans="1:9" ht="17.100000000000001" customHeight="1" x14ac:dyDescent="0.2">
      <c r="A230" s="149"/>
      <c r="B230" s="306" t="s">
        <v>662</v>
      </c>
      <c r="C230" s="306"/>
      <c r="D230" s="154">
        <f>รายเดือน!J18</f>
        <v>0</v>
      </c>
      <c r="E230" s="154"/>
      <c r="F230" s="155"/>
      <c r="G230" s="243" t="s">
        <v>56</v>
      </c>
      <c r="H230" s="156">
        <f>รายเดือน!T144</f>
        <v>0</v>
      </c>
      <c r="I230" s="169"/>
    </row>
    <row r="231" spans="1:9" ht="17.100000000000001" customHeight="1" x14ac:dyDescent="0.2">
      <c r="A231" s="149"/>
      <c r="B231" s="306" t="s">
        <v>136</v>
      </c>
      <c r="C231" s="306"/>
      <c r="D231" s="154">
        <f>รายเดือน!K230</f>
        <v>0</v>
      </c>
      <c r="E231" s="154"/>
      <c r="F231" s="155"/>
      <c r="G231" s="243" t="s">
        <v>57</v>
      </c>
      <c r="H231" s="156">
        <f>รายเดือน!U144</f>
        <v>0</v>
      </c>
      <c r="I231" s="169"/>
    </row>
    <row r="232" spans="1:9" ht="17.100000000000001" customHeight="1" x14ac:dyDescent="0.2">
      <c r="A232" s="149"/>
      <c r="B232" s="306" t="s">
        <v>6</v>
      </c>
      <c r="C232" s="306"/>
      <c r="D232" s="154">
        <v>0</v>
      </c>
      <c r="E232" s="154"/>
      <c r="F232" s="155"/>
      <c r="G232" s="243"/>
      <c r="H232" s="154"/>
      <c r="I232" s="169"/>
    </row>
    <row r="233" spans="1:9" ht="17.100000000000001" customHeight="1" x14ac:dyDescent="0.2">
      <c r="A233" s="149"/>
      <c r="B233" s="306" t="s">
        <v>7</v>
      </c>
      <c r="C233" s="306"/>
      <c r="D233" s="154">
        <v>0</v>
      </c>
      <c r="E233" s="154"/>
      <c r="F233" s="155"/>
      <c r="G233" s="243"/>
      <c r="H233" s="154"/>
      <c r="I233" s="169"/>
    </row>
    <row r="234" spans="1:9" ht="17.100000000000001" customHeight="1" x14ac:dyDescent="0.2">
      <c r="A234" s="149"/>
      <c r="B234" s="307" t="s">
        <v>117</v>
      </c>
      <c r="C234" s="307"/>
      <c r="D234" s="157">
        <f>SUM(D225:D233)</f>
        <v>0</v>
      </c>
      <c r="E234" s="157"/>
      <c r="F234" s="157"/>
      <c r="G234" s="242" t="s">
        <v>118</v>
      </c>
      <c r="H234" s="157">
        <f>SUM(H225:H233)</f>
        <v>0</v>
      </c>
      <c r="I234" s="169"/>
    </row>
    <row r="235" spans="1:9" ht="17.100000000000001" customHeight="1" x14ac:dyDescent="0.2">
      <c r="A235" s="149"/>
      <c r="B235" s="243"/>
      <c r="C235" s="242" t="s">
        <v>103</v>
      </c>
      <c r="D235" s="157">
        <f>D234-H234</f>
        <v>0</v>
      </c>
      <c r="E235" s="157"/>
      <c r="F235" s="158" t="s">
        <v>104</v>
      </c>
      <c r="H235" s="243"/>
      <c r="I235" s="152"/>
    </row>
    <row r="236" spans="1:9" ht="17.100000000000001" customHeight="1" x14ac:dyDescent="0.2">
      <c r="A236" s="149"/>
      <c r="B236" s="243"/>
      <c r="C236" s="307" t="str">
        <f>"("&amp;BAHTTEXT(D235)&amp;")"</f>
        <v>(ศูนย์บาทถ้วน)</v>
      </c>
      <c r="D236" s="307"/>
      <c r="E236" s="307"/>
      <c r="F236" s="307"/>
      <c r="G236" s="307"/>
      <c r="H236" s="243"/>
      <c r="I236" s="152"/>
    </row>
    <row r="237" spans="1:9" ht="17.100000000000001" customHeight="1" x14ac:dyDescent="0.2">
      <c r="A237" s="149"/>
      <c r="B237" s="243"/>
      <c r="C237" s="242"/>
      <c r="D237" s="242"/>
      <c r="E237" s="242"/>
      <c r="F237" s="242"/>
      <c r="G237" s="242"/>
      <c r="H237" s="243"/>
      <c r="I237" s="152"/>
    </row>
    <row r="238" spans="1:9" ht="17.100000000000001" customHeight="1" x14ac:dyDescent="0.2">
      <c r="A238" s="149"/>
      <c r="B238" s="243"/>
      <c r="C238" s="242"/>
      <c r="D238" s="242"/>
      <c r="E238" s="242"/>
      <c r="F238" s="242"/>
      <c r="G238" s="242"/>
      <c r="H238" s="243"/>
      <c r="I238" s="152"/>
    </row>
    <row r="239" spans="1:9" ht="17.100000000000001" customHeight="1" x14ac:dyDescent="0.2">
      <c r="A239" s="149"/>
      <c r="B239" s="243"/>
      <c r="C239" s="243"/>
      <c r="D239" s="243"/>
      <c r="E239" s="243"/>
      <c r="F239" s="243"/>
      <c r="G239" s="243"/>
      <c r="H239" s="243"/>
      <c r="I239" s="152"/>
    </row>
    <row r="240" spans="1:9" ht="17.100000000000001" customHeight="1" x14ac:dyDescent="0.2">
      <c r="A240" s="149"/>
      <c r="B240" s="243"/>
      <c r="C240" s="243"/>
      <c r="D240" s="243"/>
      <c r="E240" s="243"/>
      <c r="F240" s="243"/>
      <c r="G240" s="243"/>
      <c r="H240" s="243"/>
      <c r="I240" s="152"/>
    </row>
    <row r="241" spans="1:9" ht="17.100000000000001" customHeight="1" x14ac:dyDescent="0.2">
      <c r="A241" s="308" t="s">
        <v>315</v>
      </c>
      <c r="B241" s="307"/>
      <c r="C241" s="307"/>
      <c r="D241" s="307"/>
      <c r="E241" s="307"/>
      <c r="F241" s="307"/>
      <c r="G241" s="307"/>
      <c r="H241" s="307"/>
      <c r="I241" s="309"/>
    </row>
    <row r="242" spans="1:9" ht="17.100000000000001" customHeight="1" x14ac:dyDescent="0.2">
      <c r="A242" s="310" t="s">
        <v>298</v>
      </c>
      <c r="B242" s="311"/>
      <c r="C242" s="311"/>
      <c r="D242" s="311"/>
      <c r="E242" s="311"/>
      <c r="F242" s="311"/>
      <c r="G242" s="311"/>
      <c r="H242" s="311"/>
      <c r="I242" s="312"/>
    </row>
    <row r="243" spans="1:9" ht="17.100000000000001" customHeight="1" x14ac:dyDescent="0.2">
      <c r="A243" s="313" t="str">
        <f>A177</f>
        <v>โรงพยาบาลสามโคก  ประจำเดือน  พฤศจิกายน  2568</v>
      </c>
      <c r="B243" s="314"/>
      <c r="C243" s="314"/>
      <c r="D243" s="314"/>
      <c r="E243" s="314"/>
      <c r="F243" s="314"/>
      <c r="G243" s="314"/>
      <c r="H243" s="314"/>
      <c r="I243" s="315"/>
    </row>
    <row r="244" spans="1:9" ht="17.100000000000001" customHeight="1" x14ac:dyDescent="0.2">
      <c r="A244" s="308" t="s">
        <v>620</v>
      </c>
      <c r="B244" s="307"/>
      <c r="C244" s="307"/>
      <c r="D244" s="307"/>
      <c r="E244" s="307"/>
      <c r="F244" s="307"/>
      <c r="G244" s="307"/>
      <c r="H244" s="307"/>
      <c r="I244" s="309"/>
    </row>
    <row r="245" spans="1:9" ht="17.100000000000001" customHeight="1" x14ac:dyDescent="0.2">
      <c r="A245" s="149"/>
      <c r="B245" s="153"/>
      <c r="C245" s="243"/>
      <c r="D245" s="242"/>
      <c r="E245" s="242"/>
      <c r="F245" s="242"/>
      <c r="G245" s="243"/>
      <c r="H245" s="243"/>
      <c r="I245" s="152"/>
    </row>
    <row r="246" spans="1:9" ht="17.100000000000001" customHeight="1" x14ac:dyDescent="0.2">
      <c r="A246" s="149"/>
      <c r="B246" s="307" t="s">
        <v>9</v>
      </c>
      <c r="C246" s="307"/>
      <c r="D246" s="307"/>
      <c r="E246" s="242"/>
      <c r="F246" s="242"/>
      <c r="G246" s="307" t="s">
        <v>10</v>
      </c>
      <c r="H246" s="307"/>
      <c r="I246" s="152"/>
    </row>
    <row r="247" spans="1:9" ht="17.100000000000001" customHeight="1" x14ac:dyDescent="0.2">
      <c r="A247" s="149"/>
      <c r="B247" s="306" t="s">
        <v>3</v>
      </c>
      <c r="C247" s="306"/>
      <c r="D247" s="154">
        <f>รายเดือน!E19</f>
        <v>4</v>
      </c>
      <c r="E247" s="154"/>
      <c r="F247" s="155"/>
      <c r="G247" s="243" t="s">
        <v>99</v>
      </c>
      <c r="H247" s="154">
        <v>0</v>
      </c>
      <c r="I247" s="169"/>
    </row>
    <row r="248" spans="1:9" ht="17.100000000000001" customHeight="1" x14ac:dyDescent="0.2">
      <c r="A248" s="149"/>
      <c r="B248" s="306" t="s">
        <v>106</v>
      </c>
      <c r="C248" s="306"/>
      <c r="D248" s="154">
        <v>0</v>
      </c>
      <c r="E248" s="154"/>
      <c r="F248" s="155"/>
      <c r="G248" s="243" t="s">
        <v>116</v>
      </c>
      <c r="H248" s="154">
        <f>รายเดือน!O19</f>
        <v>1</v>
      </c>
      <c r="I248" s="169"/>
    </row>
    <row r="249" spans="1:9" ht="17.100000000000001" customHeight="1" x14ac:dyDescent="0.2">
      <c r="A249" s="149"/>
      <c r="B249" s="306" t="s">
        <v>107</v>
      </c>
      <c r="C249" s="306"/>
      <c r="D249" s="154">
        <v>0</v>
      </c>
      <c r="E249" s="154"/>
      <c r="F249" s="155"/>
      <c r="G249" s="243" t="s">
        <v>54</v>
      </c>
      <c r="H249" s="154">
        <v>0</v>
      </c>
      <c r="I249" s="169"/>
    </row>
    <row r="250" spans="1:9" ht="17.100000000000001" customHeight="1" x14ac:dyDescent="0.2">
      <c r="A250" s="149"/>
      <c r="B250" s="306" t="s">
        <v>130</v>
      </c>
      <c r="C250" s="306"/>
      <c r="D250" s="154">
        <f>รายเดือน!H124</f>
        <v>0</v>
      </c>
      <c r="E250" s="154"/>
      <c r="F250" s="155"/>
      <c r="G250" s="243" t="s">
        <v>100</v>
      </c>
      <c r="H250" s="154">
        <v>0</v>
      </c>
      <c r="I250" s="169"/>
    </row>
    <row r="251" spans="1:9" ht="17.100000000000001" customHeight="1" x14ac:dyDescent="0.2">
      <c r="A251" s="149"/>
      <c r="B251" s="306" t="s">
        <v>661</v>
      </c>
      <c r="C251" s="306"/>
      <c r="D251" s="154">
        <f>รายเดือน!I19</f>
        <v>0</v>
      </c>
      <c r="E251" s="154"/>
      <c r="F251" s="155"/>
      <c r="G251" s="243" t="s">
        <v>377</v>
      </c>
      <c r="H251" s="156">
        <f>รายเดือน!S166</f>
        <v>0</v>
      </c>
      <c r="I251" s="169"/>
    </row>
    <row r="252" spans="1:9" ht="17.100000000000001" customHeight="1" x14ac:dyDescent="0.2">
      <c r="A252" s="149"/>
      <c r="B252" s="306" t="s">
        <v>119</v>
      </c>
      <c r="C252" s="306"/>
      <c r="D252" s="154">
        <f>รายเดือน!J124</f>
        <v>0</v>
      </c>
      <c r="E252" s="154"/>
      <c r="F252" s="155"/>
      <c r="G252" s="243" t="s">
        <v>56</v>
      </c>
      <c r="H252" s="156">
        <f>รายเดือน!T166</f>
        <v>0</v>
      </c>
      <c r="I252" s="169"/>
    </row>
    <row r="253" spans="1:9" ht="17.100000000000001" customHeight="1" x14ac:dyDescent="0.2">
      <c r="A253" s="149"/>
      <c r="B253" s="306" t="s">
        <v>136</v>
      </c>
      <c r="C253" s="306"/>
      <c r="D253" s="154">
        <f>รายเดือน!K252</f>
        <v>0</v>
      </c>
      <c r="E253" s="154"/>
      <c r="F253" s="155"/>
      <c r="G253" s="243" t="s">
        <v>57</v>
      </c>
      <c r="H253" s="156">
        <f>รายเดือน!U166</f>
        <v>0</v>
      </c>
      <c r="I253" s="169"/>
    </row>
    <row r="254" spans="1:9" ht="17.100000000000001" customHeight="1" x14ac:dyDescent="0.2">
      <c r="A254" s="149"/>
      <c r="B254" s="306" t="s">
        <v>6</v>
      </c>
      <c r="C254" s="306"/>
      <c r="D254" s="154">
        <v>0</v>
      </c>
      <c r="E254" s="154"/>
      <c r="F254" s="155"/>
      <c r="G254" s="243"/>
      <c r="H254" s="154"/>
      <c r="I254" s="169"/>
    </row>
    <row r="255" spans="1:9" ht="17.100000000000001" customHeight="1" x14ac:dyDescent="0.2">
      <c r="A255" s="149"/>
      <c r="B255" s="306" t="s">
        <v>7</v>
      </c>
      <c r="C255" s="306"/>
      <c r="D255" s="154">
        <v>0</v>
      </c>
      <c r="E255" s="154"/>
      <c r="F255" s="155"/>
      <c r="G255" s="243"/>
      <c r="H255" s="154"/>
      <c r="I255" s="169"/>
    </row>
    <row r="256" spans="1:9" ht="17.100000000000001" customHeight="1" x14ac:dyDescent="0.2">
      <c r="A256" s="149"/>
      <c r="B256" s="307" t="s">
        <v>117</v>
      </c>
      <c r="C256" s="307"/>
      <c r="D256" s="157">
        <f>SUM(D247:D255)</f>
        <v>4</v>
      </c>
      <c r="E256" s="157"/>
      <c r="F256" s="157"/>
      <c r="G256" s="242" t="s">
        <v>118</v>
      </c>
      <c r="H256" s="157">
        <f>SUM(H247:H255)</f>
        <v>1</v>
      </c>
      <c r="I256" s="169"/>
    </row>
    <row r="257" spans="1:9" ht="17.100000000000001" customHeight="1" x14ac:dyDescent="0.2">
      <c r="A257" s="149"/>
      <c r="B257" s="243"/>
      <c r="C257" s="242" t="s">
        <v>103</v>
      </c>
      <c r="D257" s="157">
        <f>D256-H256</f>
        <v>3</v>
      </c>
      <c r="E257" s="157"/>
      <c r="F257" s="158" t="s">
        <v>104</v>
      </c>
      <c r="H257" s="243"/>
      <c r="I257" s="152"/>
    </row>
    <row r="258" spans="1:9" ht="17.100000000000001" customHeight="1" x14ac:dyDescent="0.2">
      <c r="A258" s="149"/>
      <c r="B258" s="243"/>
      <c r="C258" s="307" t="str">
        <f>"("&amp;BAHTTEXT(D257)&amp;")"</f>
        <v>(สามบาทถ้วน)</v>
      </c>
      <c r="D258" s="307"/>
      <c r="E258" s="307"/>
      <c r="F258" s="307"/>
      <c r="G258" s="307"/>
      <c r="H258" s="243"/>
      <c r="I258" s="152"/>
    </row>
    <row r="259" spans="1:9" ht="17.100000000000001" customHeight="1" x14ac:dyDescent="0.2">
      <c r="A259" s="149"/>
      <c r="B259" s="243"/>
      <c r="C259" s="242"/>
      <c r="D259" s="242"/>
      <c r="E259" s="242"/>
      <c r="F259" s="242"/>
      <c r="G259" s="242"/>
      <c r="H259" s="243"/>
      <c r="I259" s="152"/>
    </row>
    <row r="260" spans="1:9" ht="17.100000000000001" customHeight="1" x14ac:dyDescent="0.2">
      <c r="A260" s="149"/>
      <c r="B260" s="243"/>
      <c r="C260" s="242"/>
      <c r="D260" s="242"/>
      <c r="E260" s="242"/>
      <c r="F260" s="242"/>
      <c r="G260" s="242"/>
      <c r="H260" s="243"/>
      <c r="I260" s="152"/>
    </row>
    <row r="261" spans="1:9" ht="17.100000000000001" customHeight="1" x14ac:dyDescent="0.2">
      <c r="A261" s="149"/>
      <c r="B261" s="243"/>
      <c r="C261" s="243"/>
      <c r="D261" s="243"/>
      <c r="E261" s="243"/>
      <c r="F261" s="243"/>
      <c r="G261" s="243"/>
      <c r="H261" s="243"/>
      <c r="I261" s="152"/>
    </row>
    <row r="262" spans="1:9" ht="17.100000000000001" customHeight="1" x14ac:dyDescent="0.2">
      <c r="A262" s="149"/>
      <c r="B262" s="243"/>
      <c r="C262" s="243"/>
      <c r="D262" s="243"/>
      <c r="E262" s="243"/>
      <c r="F262" s="243"/>
      <c r="G262" s="243"/>
      <c r="H262" s="243"/>
      <c r="I262" s="152"/>
    </row>
    <row r="263" spans="1:9" ht="17.100000000000001" customHeight="1" x14ac:dyDescent="0.2">
      <c r="A263" s="308" t="s">
        <v>315</v>
      </c>
      <c r="B263" s="307"/>
      <c r="C263" s="307"/>
      <c r="D263" s="307"/>
      <c r="E263" s="307"/>
      <c r="F263" s="307"/>
      <c r="G263" s="307"/>
      <c r="H263" s="307"/>
      <c r="I263" s="309"/>
    </row>
    <row r="264" spans="1:9" ht="17.100000000000001" customHeight="1" x14ac:dyDescent="0.2">
      <c r="A264" s="310" t="s">
        <v>298</v>
      </c>
      <c r="B264" s="311"/>
      <c r="C264" s="311"/>
      <c r="D264" s="311"/>
      <c r="E264" s="311"/>
      <c r="F264" s="311"/>
      <c r="G264" s="311"/>
      <c r="H264" s="311"/>
      <c r="I264" s="312"/>
    </row>
    <row r="265" spans="1:9" ht="17.100000000000001" customHeight="1" x14ac:dyDescent="0.2">
      <c r="A265" s="313" t="str">
        <f>A199</f>
        <v>โรงพยาบาลสามโคก  ประจำเดือน  พฤศจิกายน  2568</v>
      </c>
      <c r="B265" s="314"/>
      <c r="C265" s="314"/>
      <c r="D265" s="314"/>
      <c r="E265" s="314"/>
      <c r="F265" s="314"/>
      <c r="G265" s="314"/>
      <c r="H265" s="314"/>
      <c r="I265" s="315"/>
    </row>
    <row r="266" spans="1:9" ht="17.100000000000001" customHeight="1" x14ac:dyDescent="0.2">
      <c r="A266" s="308" t="s">
        <v>621</v>
      </c>
      <c r="B266" s="307"/>
      <c r="C266" s="307"/>
      <c r="D266" s="307"/>
      <c r="E266" s="307"/>
      <c r="F266" s="307"/>
      <c r="G266" s="307"/>
      <c r="H266" s="307"/>
      <c r="I266" s="309"/>
    </row>
    <row r="267" spans="1:9" ht="17.100000000000001" customHeight="1" x14ac:dyDescent="0.2">
      <c r="A267" s="149"/>
      <c r="B267" s="153"/>
      <c r="C267" s="243"/>
      <c r="D267" s="242"/>
      <c r="E267" s="242"/>
      <c r="F267" s="242"/>
      <c r="G267" s="243"/>
      <c r="H267" s="243"/>
      <c r="I267" s="152"/>
    </row>
    <row r="268" spans="1:9" ht="17.100000000000001" customHeight="1" x14ac:dyDescent="0.2">
      <c r="A268" s="149"/>
      <c r="B268" s="307" t="s">
        <v>9</v>
      </c>
      <c r="C268" s="307"/>
      <c r="D268" s="307"/>
      <c r="E268" s="242"/>
      <c r="F268" s="242"/>
      <c r="G268" s="307" t="s">
        <v>10</v>
      </c>
      <c r="H268" s="307"/>
      <c r="I268" s="152"/>
    </row>
    <row r="269" spans="1:9" ht="17.100000000000001" customHeight="1" x14ac:dyDescent="0.2">
      <c r="A269" s="149"/>
      <c r="B269" s="306" t="s">
        <v>3</v>
      </c>
      <c r="C269" s="306"/>
      <c r="D269" s="154">
        <f>รายเดือน!E20</f>
        <v>0</v>
      </c>
      <c r="E269" s="154"/>
      <c r="F269" s="155"/>
      <c r="G269" s="243" t="s">
        <v>99</v>
      </c>
      <c r="H269" s="154">
        <v>0</v>
      </c>
      <c r="I269" s="169"/>
    </row>
    <row r="270" spans="1:9" ht="17.100000000000001" customHeight="1" x14ac:dyDescent="0.2">
      <c r="A270" s="149"/>
      <c r="B270" s="306" t="s">
        <v>106</v>
      </c>
      <c r="C270" s="306"/>
      <c r="D270" s="154">
        <v>0</v>
      </c>
      <c r="E270" s="154"/>
      <c r="F270" s="155"/>
      <c r="G270" s="243" t="s">
        <v>116</v>
      </c>
      <c r="H270" s="154">
        <f>รายเดือน!O20</f>
        <v>0</v>
      </c>
      <c r="I270" s="169"/>
    </row>
    <row r="271" spans="1:9" ht="17.100000000000001" customHeight="1" x14ac:dyDescent="0.2">
      <c r="A271" s="149"/>
      <c r="B271" s="306" t="s">
        <v>107</v>
      </c>
      <c r="C271" s="306"/>
      <c r="D271" s="154">
        <v>0</v>
      </c>
      <c r="E271" s="154"/>
      <c r="F271" s="155"/>
      <c r="G271" s="243" t="s">
        <v>54</v>
      </c>
      <c r="H271" s="154">
        <v>0</v>
      </c>
      <c r="I271" s="169"/>
    </row>
    <row r="272" spans="1:9" ht="17.100000000000001" customHeight="1" x14ac:dyDescent="0.2">
      <c r="A272" s="149"/>
      <c r="B272" s="306" t="s">
        <v>130</v>
      </c>
      <c r="C272" s="306"/>
      <c r="D272" s="154">
        <f>รายเดือน!H146</f>
        <v>0</v>
      </c>
      <c r="E272" s="154"/>
      <c r="F272" s="155"/>
      <c r="G272" s="243" t="s">
        <v>100</v>
      </c>
      <c r="H272" s="154">
        <v>0</v>
      </c>
      <c r="I272" s="169"/>
    </row>
    <row r="273" spans="1:9" ht="17.100000000000001" customHeight="1" x14ac:dyDescent="0.2">
      <c r="A273" s="149"/>
      <c r="B273" s="306" t="s">
        <v>661</v>
      </c>
      <c r="C273" s="306"/>
      <c r="D273" s="154">
        <f>รายเดือน!I20</f>
        <v>0</v>
      </c>
      <c r="E273" s="154"/>
      <c r="F273" s="155"/>
      <c r="G273" s="243" t="s">
        <v>377</v>
      </c>
      <c r="H273" s="156">
        <f>รายเดือน!S20</f>
        <v>0</v>
      </c>
      <c r="I273" s="169"/>
    </row>
    <row r="274" spans="1:9" ht="17.100000000000001" customHeight="1" x14ac:dyDescent="0.2">
      <c r="A274" s="149"/>
      <c r="B274" s="306" t="s">
        <v>662</v>
      </c>
      <c r="C274" s="306"/>
      <c r="D274" s="154">
        <f>รายเดือน!J20</f>
        <v>0</v>
      </c>
      <c r="E274" s="154"/>
      <c r="F274" s="155"/>
      <c r="G274" s="243" t="s">
        <v>56</v>
      </c>
      <c r="H274" s="156">
        <f>รายเดือน!T188</f>
        <v>0</v>
      </c>
      <c r="I274" s="169"/>
    </row>
    <row r="275" spans="1:9" ht="17.100000000000001" customHeight="1" x14ac:dyDescent="0.2">
      <c r="A275" s="149"/>
      <c r="B275" s="306" t="s">
        <v>136</v>
      </c>
      <c r="C275" s="306"/>
      <c r="D275" s="154">
        <f>รายเดือน!K274</f>
        <v>0</v>
      </c>
      <c r="E275" s="154"/>
      <c r="F275" s="155"/>
      <c r="G275" s="243" t="s">
        <v>57</v>
      </c>
      <c r="H275" s="156">
        <f>รายเดือน!U188</f>
        <v>0</v>
      </c>
      <c r="I275" s="169"/>
    </row>
    <row r="276" spans="1:9" ht="17.100000000000001" customHeight="1" x14ac:dyDescent="0.2">
      <c r="A276" s="149"/>
      <c r="B276" s="306" t="s">
        <v>6</v>
      </c>
      <c r="C276" s="306"/>
      <c r="D276" s="154">
        <v>0</v>
      </c>
      <c r="E276" s="154"/>
      <c r="F276" s="155"/>
      <c r="G276" s="243"/>
      <c r="H276" s="154"/>
      <c r="I276" s="169"/>
    </row>
    <row r="277" spans="1:9" ht="17.100000000000001" customHeight="1" x14ac:dyDescent="0.2">
      <c r="A277" s="149"/>
      <c r="B277" s="306" t="s">
        <v>7</v>
      </c>
      <c r="C277" s="306"/>
      <c r="D277" s="154">
        <v>0</v>
      </c>
      <c r="E277" s="154"/>
      <c r="F277" s="155"/>
      <c r="G277" s="243"/>
      <c r="H277" s="154"/>
      <c r="I277" s="169"/>
    </row>
    <row r="278" spans="1:9" ht="17.100000000000001" customHeight="1" x14ac:dyDescent="0.2">
      <c r="A278" s="149"/>
      <c r="B278" s="307" t="s">
        <v>117</v>
      </c>
      <c r="C278" s="307"/>
      <c r="D278" s="157">
        <f>SUM(D269:D277)</f>
        <v>0</v>
      </c>
      <c r="E278" s="157"/>
      <c r="F278" s="157"/>
      <c r="G278" s="242" t="s">
        <v>118</v>
      </c>
      <c r="H278" s="157">
        <f>SUM(H269:H277)</f>
        <v>0</v>
      </c>
      <c r="I278" s="169"/>
    </row>
    <row r="279" spans="1:9" ht="17.100000000000001" customHeight="1" x14ac:dyDescent="0.2">
      <c r="A279" s="149"/>
      <c r="B279" s="243"/>
      <c r="C279" s="242" t="s">
        <v>103</v>
      </c>
      <c r="D279" s="157">
        <f>D278-H278</f>
        <v>0</v>
      </c>
      <c r="E279" s="157"/>
      <c r="F279" s="158" t="s">
        <v>104</v>
      </c>
      <c r="H279" s="243"/>
      <c r="I279" s="152"/>
    </row>
    <row r="280" spans="1:9" ht="17.100000000000001" customHeight="1" x14ac:dyDescent="0.2">
      <c r="A280" s="149"/>
      <c r="B280" s="243"/>
      <c r="C280" s="307" t="str">
        <f>"("&amp;BAHTTEXT(D279)&amp;")"</f>
        <v>(ศูนย์บาทถ้วน)</v>
      </c>
      <c r="D280" s="307"/>
      <c r="E280" s="307"/>
      <c r="F280" s="307"/>
      <c r="G280" s="307"/>
      <c r="H280" s="243"/>
      <c r="I280" s="152"/>
    </row>
    <row r="281" spans="1:9" ht="17.100000000000001" customHeight="1" x14ac:dyDescent="0.2">
      <c r="A281" s="149"/>
      <c r="B281" s="243"/>
      <c r="C281" s="242"/>
      <c r="D281" s="242"/>
      <c r="E281" s="242"/>
      <c r="F281" s="242"/>
      <c r="G281" s="242"/>
      <c r="H281" s="243"/>
      <c r="I281" s="152"/>
    </row>
    <row r="282" spans="1:9" ht="17.100000000000001" customHeight="1" x14ac:dyDescent="0.2">
      <c r="A282" s="149"/>
      <c r="B282" s="243"/>
      <c r="C282" s="242"/>
      <c r="D282" s="242"/>
      <c r="E282" s="242"/>
      <c r="F282" s="242"/>
      <c r="G282" s="242"/>
      <c r="H282" s="243"/>
      <c r="I282" s="152"/>
    </row>
    <row r="283" spans="1:9" ht="17.100000000000001" customHeight="1" x14ac:dyDescent="0.2">
      <c r="A283" s="149"/>
      <c r="B283" s="243"/>
      <c r="C283" s="243"/>
      <c r="D283" s="243"/>
      <c r="E283" s="243"/>
      <c r="F283" s="243"/>
      <c r="G283" s="243"/>
      <c r="H283" s="243"/>
      <c r="I283" s="152"/>
    </row>
    <row r="284" spans="1:9" ht="17.100000000000001" customHeight="1" x14ac:dyDescent="0.2">
      <c r="A284" s="149"/>
      <c r="B284" s="243"/>
      <c r="C284" s="243"/>
      <c r="D284" s="243"/>
      <c r="E284" s="243"/>
      <c r="F284" s="243"/>
      <c r="G284" s="243"/>
      <c r="H284" s="243"/>
      <c r="I284" s="152"/>
    </row>
    <row r="285" spans="1:9" ht="17.100000000000001" customHeight="1" x14ac:dyDescent="0.2">
      <c r="A285" s="308" t="s">
        <v>315</v>
      </c>
      <c r="B285" s="307"/>
      <c r="C285" s="307"/>
      <c r="D285" s="307"/>
      <c r="E285" s="307"/>
      <c r="F285" s="307"/>
      <c r="G285" s="307"/>
      <c r="H285" s="307"/>
      <c r="I285" s="309"/>
    </row>
    <row r="286" spans="1:9" ht="17.100000000000001" customHeight="1" x14ac:dyDescent="0.2">
      <c r="A286" s="310" t="s">
        <v>298</v>
      </c>
      <c r="B286" s="311"/>
      <c r="C286" s="311"/>
      <c r="D286" s="311"/>
      <c r="E286" s="311"/>
      <c r="F286" s="311"/>
      <c r="G286" s="311"/>
      <c r="H286" s="311"/>
      <c r="I286" s="312"/>
    </row>
    <row r="287" spans="1:9" ht="17.100000000000001" customHeight="1" x14ac:dyDescent="0.2">
      <c r="A287" s="313" t="str">
        <f>A221</f>
        <v>โรงพยาบาลสามโคก  ประจำเดือน  พฤศจิกายน  2568</v>
      </c>
      <c r="B287" s="314"/>
      <c r="C287" s="314"/>
      <c r="D287" s="314"/>
      <c r="E287" s="314"/>
      <c r="F287" s="314"/>
      <c r="G287" s="314"/>
      <c r="H287" s="314"/>
      <c r="I287" s="315"/>
    </row>
    <row r="288" spans="1:9" ht="17.100000000000001" customHeight="1" x14ac:dyDescent="0.2">
      <c r="A288" s="308" t="s">
        <v>622</v>
      </c>
      <c r="B288" s="307"/>
      <c r="C288" s="307"/>
      <c r="D288" s="307"/>
      <c r="E288" s="307"/>
      <c r="F288" s="307"/>
      <c r="G288" s="307"/>
      <c r="H288" s="307"/>
      <c r="I288" s="309"/>
    </row>
    <row r="289" spans="1:9" ht="17.100000000000001" customHeight="1" x14ac:dyDescent="0.2">
      <c r="A289" s="149"/>
      <c r="B289" s="153"/>
      <c r="C289" s="243"/>
      <c r="D289" s="242"/>
      <c r="E289" s="242"/>
      <c r="F289" s="242"/>
      <c r="G289" s="243"/>
      <c r="H289" s="243"/>
      <c r="I289" s="152"/>
    </row>
    <row r="290" spans="1:9" ht="17.100000000000001" customHeight="1" x14ac:dyDescent="0.2">
      <c r="A290" s="149"/>
      <c r="B290" s="307" t="s">
        <v>9</v>
      </c>
      <c r="C290" s="307"/>
      <c r="D290" s="307"/>
      <c r="E290" s="242"/>
      <c r="F290" s="242"/>
      <c r="G290" s="307" t="s">
        <v>10</v>
      </c>
      <c r="H290" s="307"/>
      <c r="I290" s="152"/>
    </row>
    <row r="291" spans="1:9" ht="17.100000000000001" customHeight="1" x14ac:dyDescent="0.2">
      <c r="A291" s="149"/>
      <c r="B291" s="306" t="s">
        <v>3</v>
      </c>
      <c r="C291" s="306"/>
      <c r="D291" s="154">
        <f>รายเดือน!E21</f>
        <v>0</v>
      </c>
      <c r="E291" s="154"/>
      <c r="F291" s="155"/>
      <c r="G291" s="243" t="s">
        <v>99</v>
      </c>
      <c r="H291" s="154">
        <v>0</v>
      </c>
      <c r="I291" s="169"/>
    </row>
    <row r="292" spans="1:9" ht="17.100000000000001" customHeight="1" x14ac:dyDescent="0.2">
      <c r="A292" s="149"/>
      <c r="B292" s="306" t="s">
        <v>106</v>
      </c>
      <c r="C292" s="306"/>
      <c r="D292" s="154">
        <v>0</v>
      </c>
      <c r="E292" s="154"/>
      <c r="F292" s="155"/>
      <c r="G292" s="243" t="s">
        <v>116</v>
      </c>
      <c r="H292" s="154">
        <f>รายเดือน!O21</f>
        <v>0</v>
      </c>
      <c r="I292" s="169"/>
    </row>
    <row r="293" spans="1:9" ht="17.100000000000001" customHeight="1" x14ac:dyDescent="0.2">
      <c r="A293" s="149"/>
      <c r="B293" s="306" t="s">
        <v>107</v>
      </c>
      <c r="C293" s="306"/>
      <c r="D293" s="154">
        <v>0</v>
      </c>
      <c r="E293" s="154"/>
      <c r="F293" s="155"/>
      <c r="G293" s="243" t="s">
        <v>54</v>
      </c>
      <c r="H293" s="154">
        <v>0</v>
      </c>
      <c r="I293" s="169"/>
    </row>
    <row r="294" spans="1:9" ht="17.100000000000001" customHeight="1" x14ac:dyDescent="0.2">
      <c r="A294" s="149"/>
      <c r="B294" s="306" t="s">
        <v>130</v>
      </c>
      <c r="C294" s="306"/>
      <c r="D294" s="154">
        <f>รายเดือน!H168</f>
        <v>0</v>
      </c>
      <c r="E294" s="154"/>
      <c r="F294" s="155"/>
      <c r="G294" s="243" t="s">
        <v>100</v>
      </c>
      <c r="H294" s="154">
        <v>0</v>
      </c>
      <c r="I294" s="169"/>
    </row>
    <row r="295" spans="1:9" ht="17.100000000000001" customHeight="1" x14ac:dyDescent="0.2">
      <c r="A295" s="149"/>
      <c r="B295" s="306" t="s">
        <v>661</v>
      </c>
      <c r="C295" s="306"/>
      <c r="D295" s="154">
        <f>รายเดือน!I21</f>
        <v>0</v>
      </c>
      <c r="E295" s="154"/>
      <c r="F295" s="155"/>
      <c r="G295" s="243" t="s">
        <v>377</v>
      </c>
      <c r="H295" s="156">
        <f>รายเดือน!S210</f>
        <v>0</v>
      </c>
      <c r="I295" s="169"/>
    </row>
    <row r="296" spans="1:9" ht="17.100000000000001" customHeight="1" x14ac:dyDescent="0.2">
      <c r="A296" s="149"/>
      <c r="B296" s="306" t="s">
        <v>119</v>
      </c>
      <c r="C296" s="306"/>
      <c r="D296" s="154">
        <f>รายเดือน!J168</f>
        <v>0</v>
      </c>
      <c r="E296" s="154"/>
      <c r="F296" s="155"/>
      <c r="G296" s="243" t="s">
        <v>56</v>
      </c>
      <c r="H296" s="156">
        <f>รายเดือน!T210</f>
        <v>0</v>
      </c>
      <c r="I296" s="169"/>
    </row>
    <row r="297" spans="1:9" ht="17.100000000000001" customHeight="1" x14ac:dyDescent="0.2">
      <c r="A297" s="149"/>
      <c r="B297" s="306" t="s">
        <v>136</v>
      </c>
      <c r="C297" s="306"/>
      <c r="D297" s="154">
        <f>รายเดือน!K296</f>
        <v>0</v>
      </c>
      <c r="E297" s="154"/>
      <c r="F297" s="155"/>
      <c r="G297" s="243" t="s">
        <v>57</v>
      </c>
      <c r="H297" s="156">
        <f>รายเดือน!U210</f>
        <v>0</v>
      </c>
      <c r="I297" s="169"/>
    </row>
    <row r="298" spans="1:9" ht="17.100000000000001" customHeight="1" x14ac:dyDescent="0.2">
      <c r="A298" s="149"/>
      <c r="B298" s="306" t="s">
        <v>6</v>
      </c>
      <c r="C298" s="306"/>
      <c r="D298" s="154">
        <v>0</v>
      </c>
      <c r="E298" s="154"/>
      <c r="F298" s="155"/>
      <c r="G298" s="243"/>
      <c r="H298" s="154"/>
      <c r="I298" s="169"/>
    </row>
    <row r="299" spans="1:9" ht="17.100000000000001" customHeight="1" x14ac:dyDescent="0.2">
      <c r="A299" s="149"/>
      <c r="B299" s="306" t="s">
        <v>7</v>
      </c>
      <c r="C299" s="306"/>
      <c r="D299" s="154">
        <v>0</v>
      </c>
      <c r="E299" s="154"/>
      <c r="F299" s="155"/>
      <c r="G299" s="243"/>
      <c r="H299" s="154"/>
      <c r="I299" s="169"/>
    </row>
    <row r="300" spans="1:9" ht="17.100000000000001" customHeight="1" x14ac:dyDescent="0.2">
      <c r="A300" s="149"/>
      <c r="B300" s="307" t="s">
        <v>117</v>
      </c>
      <c r="C300" s="307"/>
      <c r="D300" s="157">
        <f>SUM(D291:D299)</f>
        <v>0</v>
      </c>
      <c r="E300" s="157"/>
      <c r="F300" s="157"/>
      <c r="G300" s="242" t="s">
        <v>118</v>
      </c>
      <c r="H300" s="157">
        <f>SUM(H291:H299)</f>
        <v>0</v>
      </c>
      <c r="I300" s="169"/>
    </row>
    <row r="301" spans="1:9" ht="17.100000000000001" customHeight="1" x14ac:dyDescent="0.2">
      <c r="A301" s="149"/>
      <c r="B301" s="243"/>
      <c r="C301" s="242" t="s">
        <v>103</v>
      </c>
      <c r="D301" s="157">
        <f>D300-H300</f>
        <v>0</v>
      </c>
      <c r="E301" s="157"/>
      <c r="F301" s="158" t="s">
        <v>104</v>
      </c>
      <c r="H301" s="243"/>
      <c r="I301" s="152"/>
    </row>
    <row r="302" spans="1:9" ht="17.100000000000001" customHeight="1" x14ac:dyDescent="0.2">
      <c r="A302" s="149"/>
      <c r="B302" s="243"/>
      <c r="C302" s="307" t="str">
        <f>"("&amp;BAHTTEXT(D301)&amp;")"</f>
        <v>(ศูนย์บาทถ้วน)</v>
      </c>
      <c r="D302" s="307"/>
      <c r="E302" s="307"/>
      <c r="F302" s="307"/>
      <c r="G302" s="307"/>
      <c r="H302" s="243"/>
      <c r="I302" s="152"/>
    </row>
    <row r="303" spans="1:9" ht="17.100000000000001" customHeight="1" x14ac:dyDescent="0.2">
      <c r="A303" s="149"/>
      <c r="B303" s="243"/>
      <c r="C303" s="242"/>
      <c r="D303" s="242"/>
      <c r="E303" s="242"/>
      <c r="F303" s="242"/>
      <c r="G303" s="242"/>
      <c r="H303" s="243"/>
      <c r="I303" s="152"/>
    </row>
    <row r="304" spans="1:9" ht="17.100000000000001" customHeight="1" x14ac:dyDescent="0.2">
      <c r="A304" s="149"/>
      <c r="B304" s="243"/>
      <c r="C304" s="242"/>
      <c r="D304" s="242"/>
      <c r="E304" s="242"/>
      <c r="F304" s="242"/>
      <c r="G304" s="242"/>
      <c r="H304" s="243"/>
      <c r="I304" s="152"/>
    </row>
    <row r="305" spans="1:9" ht="17.100000000000001" customHeight="1" x14ac:dyDescent="0.2">
      <c r="A305" s="149"/>
      <c r="B305" s="243"/>
      <c r="C305" s="243"/>
      <c r="D305" s="243"/>
      <c r="E305" s="243"/>
      <c r="F305" s="243"/>
      <c r="G305" s="243"/>
      <c r="H305" s="243"/>
      <c r="I305" s="152"/>
    </row>
    <row r="306" spans="1:9" ht="17.100000000000001" customHeight="1" x14ac:dyDescent="0.2">
      <c r="A306" s="149"/>
      <c r="B306" s="243"/>
      <c r="C306" s="243"/>
      <c r="D306" s="243"/>
      <c r="E306" s="243"/>
      <c r="F306" s="243"/>
      <c r="G306" s="243"/>
      <c r="H306" s="243"/>
      <c r="I306" s="152"/>
    </row>
    <row r="307" spans="1:9" ht="17.100000000000001" customHeight="1" x14ac:dyDescent="0.2">
      <c r="A307" s="308" t="s">
        <v>315</v>
      </c>
      <c r="B307" s="307"/>
      <c r="C307" s="307"/>
      <c r="D307" s="307"/>
      <c r="E307" s="307"/>
      <c r="F307" s="307"/>
      <c r="G307" s="307"/>
      <c r="H307" s="307"/>
      <c r="I307" s="309"/>
    </row>
    <row r="308" spans="1:9" ht="17.100000000000001" customHeight="1" x14ac:dyDescent="0.2">
      <c r="A308" s="310" t="s">
        <v>298</v>
      </c>
      <c r="B308" s="311"/>
      <c r="C308" s="311"/>
      <c r="D308" s="311"/>
      <c r="E308" s="311"/>
      <c r="F308" s="311"/>
      <c r="G308" s="311"/>
      <c r="H308" s="311"/>
      <c r="I308" s="312"/>
    </row>
    <row r="309" spans="1:9" ht="17.100000000000001" customHeight="1" x14ac:dyDescent="0.2">
      <c r="A309" s="313" t="str">
        <f>A243</f>
        <v>โรงพยาบาลสามโคก  ประจำเดือน  พฤศจิกายน  2568</v>
      </c>
      <c r="B309" s="314"/>
      <c r="C309" s="314"/>
      <c r="D309" s="314"/>
      <c r="E309" s="314"/>
      <c r="F309" s="314"/>
      <c r="G309" s="314"/>
      <c r="H309" s="314"/>
      <c r="I309" s="315"/>
    </row>
    <row r="310" spans="1:9" ht="17.100000000000001" customHeight="1" x14ac:dyDescent="0.2">
      <c r="A310" s="308" t="s">
        <v>623</v>
      </c>
      <c r="B310" s="307"/>
      <c r="C310" s="307"/>
      <c r="D310" s="307"/>
      <c r="E310" s="307"/>
      <c r="F310" s="307"/>
      <c r="G310" s="307"/>
      <c r="H310" s="307"/>
      <c r="I310" s="309"/>
    </row>
    <row r="311" spans="1:9" ht="17.100000000000001" customHeight="1" x14ac:dyDescent="0.2">
      <c r="A311" s="149"/>
      <c r="B311" s="153"/>
      <c r="C311" s="243"/>
      <c r="D311" s="242"/>
      <c r="E311" s="242"/>
      <c r="F311" s="242"/>
      <c r="G311" s="243"/>
      <c r="H311" s="243"/>
      <c r="I311" s="152"/>
    </row>
    <row r="312" spans="1:9" ht="17.100000000000001" customHeight="1" x14ac:dyDescent="0.2">
      <c r="A312" s="149"/>
      <c r="B312" s="307" t="s">
        <v>9</v>
      </c>
      <c r="C312" s="307"/>
      <c r="D312" s="307"/>
      <c r="E312" s="242"/>
      <c r="F312" s="242"/>
      <c r="G312" s="307" t="s">
        <v>10</v>
      </c>
      <c r="H312" s="307"/>
      <c r="I312" s="152"/>
    </row>
    <row r="313" spans="1:9" ht="17.100000000000001" customHeight="1" x14ac:dyDescent="0.2">
      <c r="A313" s="149"/>
      <c r="B313" s="306" t="s">
        <v>3</v>
      </c>
      <c r="C313" s="306"/>
      <c r="D313" s="154">
        <f>รายเดือน!E22</f>
        <v>0</v>
      </c>
      <c r="E313" s="154"/>
      <c r="F313" s="155"/>
      <c r="G313" s="243" t="s">
        <v>99</v>
      </c>
      <c r="H313" s="154">
        <v>0</v>
      </c>
      <c r="I313" s="169"/>
    </row>
    <row r="314" spans="1:9" ht="17.100000000000001" customHeight="1" x14ac:dyDescent="0.2">
      <c r="A314" s="149"/>
      <c r="B314" s="306" t="s">
        <v>106</v>
      </c>
      <c r="C314" s="306"/>
      <c r="D314" s="154">
        <v>0</v>
      </c>
      <c r="E314" s="154"/>
      <c r="F314" s="155"/>
      <c r="G314" s="243" t="s">
        <v>116</v>
      </c>
      <c r="H314" s="154">
        <f>รายเดือน!O22</f>
        <v>0</v>
      </c>
      <c r="I314" s="169"/>
    </row>
    <row r="315" spans="1:9" ht="17.100000000000001" customHeight="1" x14ac:dyDescent="0.2">
      <c r="A315" s="149"/>
      <c r="B315" s="306" t="s">
        <v>107</v>
      </c>
      <c r="C315" s="306"/>
      <c r="D315" s="154">
        <v>0</v>
      </c>
      <c r="E315" s="154"/>
      <c r="F315" s="155"/>
      <c r="G315" s="243" t="s">
        <v>54</v>
      </c>
      <c r="H315" s="154">
        <v>0</v>
      </c>
      <c r="I315" s="169"/>
    </row>
    <row r="316" spans="1:9" ht="17.100000000000001" customHeight="1" x14ac:dyDescent="0.2">
      <c r="A316" s="149"/>
      <c r="B316" s="306" t="s">
        <v>130</v>
      </c>
      <c r="C316" s="306"/>
      <c r="D316" s="154">
        <f>รายเดือน!H190</f>
        <v>0</v>
      </c>
      <c r="E316" s="154"/>
      <c r="F316" s="155"/>
      <c r="G316" s="243" t="s">
        <v>100</v>
      </c>
      <c r="H316" s="154">
        <v>0</v>
      </c>
      <c r="I316" s="169"/>
    </row>
    <row r="317" spans="1:9" ht="17.100000000000001" customHeight="1" x14ac:dyDescent="0.2">
      <c r="A317" s="149"/>
      <c r="B317" s="306" t="s">
        <v>661</v>
      </c>
      <c r="C317" s="306"/>
      <c r="D317" s="154">
        <f>รายเดือน!I22</f>
        <v>0</v>
      </c>
      <c r="E317" s="154"/>
      <c r="F317" s="155"/>
      <c r="G317" s="243" t="s">
        <v>377</v>
      </c>
      <c r="H317" s="156">
        <f>รายเดือน!S232</f>
        <v>0</v>
      </c>
      <c r="I317" s="169"/>
    </row>
    <row r="318" spans="1:9" ht="17.100000000000001" customHeight="1" x14ac:dyDescent="0.2">
      <c r="A318" s="149"/>
      <c r="B318" s="306" t="s">
        <v>119</v>
      </c>
      <c r="C318" s="306"/>
      <c r="D318" s="154">
        <f>รายเดือน!J190</f>
        <v>0</v>
      </c>
      <c r="E318" s="154"/>
      <c r="F318" s="155"/>
      <c r="G318" s="243" t="s">
        <v>56</v>
      </c>
      <c r="H318" s="156">
        <f>รายเดือน!T232</f>
        <v>0</v>
      </c>
      <c r="I318" s="169"/>
    </row>
    <row r="319" spans="1:9" ht="17.100000000000001" customHeight="1" x14ac:dyDescent="0.2">
      <c r="A319" s="149"/>
      <c r="B319" s="306" t="s">
        <v>136</v>
      </c>
      <c r="C319" s="306"/>
      <c r="D319" s="154">
        <f>รายเดือน!K318</f>
        <v>0</v>
      </c>
      <c r="E319" s="154"/>
      <c r="F319" s="155"/>
      <c r="G319" s="243" t="s">
        <v>57</v>
      </c>
      <c r="H319" s="156">
        <f>รายเดือน!U232</f>
        <v>0</v>
      </c>
      <c r="I319" s="169"/>
    </row>
    <row r="320" spans="1:9" ht="17.100000000000001" customHeight="1" x14ac:dyDescent="0.2">
      <c r="A320" s="149"/>
      <c r="B320" s="306" t="s">
        <v>6</v>
      </c>
      <c r="C320" s="306"/>
      <c r="D320" s="154">
        <v>0</v>
      </c>
      <c r="E320" s="154"/>
      <c r="F320" s="155"/>
      <c r="G320" s="243"/>
      <c r="H320" s="154"/>
      <c r="I320" s="169"/>
    </row>
    <row r="321" spans="1:9" ht="17.100000000000001" customHeight="1" x14ac:dyDescent="0.2">
      <c r="A321" s="149"/>
      <c r="B321" s="306" t="s">
        <v>7</v>
      </c>
      <c r="C321" s="306"/>
      <c r="D321" s="154">
        <v>0</v>
      </c>
      <c r="E321" s="154"/>
      <c r="F321" s="155"/>
      <c r="G321" s="243"/>
      <c r="H321" s="154"/>
      <c r="I321" s="169"/>
    </row>
    <row r="322" spans="1:9" ht="17.100000000000001" customHeight="1" x14ac:dyDescent="0.2">
      <c r="A322" s="149"/>
      <c r="B322" s="307" t="s">
        <v>117</v>
      </c>
      <c r="C322" s="307"/>
      <c r="D322" s="157">
        <f>SUM(D313:D321)</f>
        <v>0</v>
      </c>
      <c r="E322" s="157"/>
      <c r="F322" s="157"/>
      <c r="G322" s="242" t="s">
        <v>118</v>
      </c>
      <c r="H322" s="157">
        <f>SUM(H313:H321)</f>
        <v>0</v>
      </c>
      <c r="I322" s="169"/>
    </row>
    <row r="323" spans="1:9" ht="17.100000000000001" customHeight="1" x14ac:dyDescent="0.2">
      <c r="A323" s="149"/>
      <c r="B323" s="243"/>
      <c r="C323" s="242" t="s">
        <v>103</v>
      </c>
      <c r="D323" s="157">
        <f>D322-H322</f>
        <v>0</v>
      </c>
      <c r="E323" s="157"/>
      <c r="F323" s="158" t="s">
        <v>104</v>
      </c>
      <c r="H323" s="243"/>
      <c r="I323" s="152"/>
    </row>
    <row r="324" spans="1:9" ht="17.100000000000001" customHeight="1" x14ac:dyDescent="0.2">
      <c r="A324" s="149"/>
      <c r="B324" s="243"/>
      <c r="C324" s="307" t="str">
        <f>"("&amp;BAHTTEXT(D323)&amp;")"</f>
        <v>(ศูนย์บาทถ้วน)</v>
      </c>
      <c r="D324" s="307"/>
      <c r="E324" s="307"/>
      <c r="F324" s="307"/>
      <c r="G324" s="307"/>
      <c r="H324" s="243"/>
      <c r="I324" s="152"/>
    </row>
    <row r="325" spans="1:9" ht="17.100000000000001" customHeight="1" x14ac:dyDescent="0.2">
      <c r="A325" s="149"/>
      <c r="B325" s="243"/>
      <c r="C325" s="242"/>
      <c r="D325" s="242"/>
      <c r="E325" s="242"/>
      <c r="F325" s="242"/>
      <c r="G325" s="242"/>
      <c r="H325" s="243"/>
      <c r="I325" s="152"/>
    </row>
    <row r="326" spans="1:9" ht="17.100000000000001" customHeight="1" x14ac:dyDescent="0.2">
      <c r="A326" s="149"/>
      <c r="B326" s="243"/>
      <c r="C326" s="242"/>
      <c r="D326" s="242"/>
      <c r="E326" s="242"/>
      <c r="F326" s="242"/>
      <c r="G326" s="242"/>
      <c r="H326" s="243"/>
      <c r="I326" s="152"/>
    </row>
    <row r="327" spans="1:9" ht="17.100000000000001" customHeight="1" x14ac:dyDescent="0.2">
      <c r="A327" s="149"/>
      <c r="B327" s="243"/>
      <c r="C327" s="243"/>
      <c r="D327" s="243"/>
      <c r="E327" s="243"/>
      <c r="F327" s="243"/>
      <c r="G327" s="243"/>
      <c r="H327" s="243"/>
      <c r="I327" s="152"/>
    </row>
    <row r="328" spans="1:9" ht="17.100000000000001" customHeight="1" x14ac:dyDescent="0.2">
      <c r="A328" s="149"/>
      <c r="B328" s="243"/>
      <c r="C328" s="243"/>
      <c r="D328" s="243"/>
      <c r="E328" s="243"/>
      <c r="F328" s="243"/>
      <c r="G328" s="243"/>
      <c r="H328" s="243"/>
      <c r="I328" s="152"/>
    </row>
    <row r="329" spans="1:9" ht="17.100000000000001" customHeight="1" x14ac:dyDescent="0.2">
      <c r="A329" s="308" t="s">
        <v>315</v>
      </c>
      <c r="B329" s="307"/>
      <c r="C329" s="307"/>
      <c r="D329" s="307"/>
      <c r="E329" s="307"/>
      <c r="F329" s="307"/>
      <c r="G329" s="307"/>
      <c r="H329" s="307"/>
      <c r="I329" s="309"/>
    </row>
    <row r="330" spans="1:9" ht="17.100000000000001" customHeight="1" x14ac:dyDescent="0.2">
      <c r="A330" s="310" t="s">
        <v>298</v>
      </c>
      <c r="B330" s="311"/>
      <c r="C330" s="311"/>
      <c r="D330" s="311"/>
      <c r="E330" s="311"/>
      <c r="F330" s="311"/>
      <c r="G330" s="311"/>
      <c r="H330" s="311"/>
      <c r="I330" s="312"/>
    </row>
    <row r="331" spans="1:9" ht="17.100000000000001" customHeight="1" x14ac:dyDescent="0.2">
      <c r="A331" s="313" t="str">
        <f>A265</f>
        <v>โรงพยาบาลสามโคก  ประจำเดือน  พฤศจิกายน  2568</v>
      </c>
      <c r="B331" s="314"/>
      <c r="C331" s="314"/>
      <c r="D331" s="314"/>
      <c r="E331" s="314"/>
      <c r="F331" s="314"/>
      <c r="G331" s="314"/>
      <c r="H331" s="314"/>
      <c r="I331" s="315"/>
    </row>
    <row r="332" spans="1:9" ht="17.100000000000001" customHeight="1" x14ac:dyDescent="0.2">
      <c r="A332" s="308" t="s">
        <v>556</v>
      </c>
      <c r="B332" s="307"/>
      <c r="C332" s="307"/>
      <c r="D332" s="307"/>
      <c r="E332" s="307"/>
      <c r="F332" s="307"/>
      <c r="G332" s="307"/>
      <c r="H332" s="307"/>
      <c r="I332" s="309"/>
    </row>
    <row r="333" spans="1:9" ht="17.100000000000001" customHeight="1" x14ac:dyDescent="0.2">
      <c r="A333" s="149"/>
      <c r="B333" s="153"/>
      <c r="C333" s="243"/>
      <c r="D333" s="242"/>
      <c r="E333" s="242"/>
      <c r="F333" s="242"/>
      <c r="G333" s="243"/>
      <c r="H333" s="243"/>
      <c r="I333" s="152"/>
    </row>
    <row r="334" spans="1:9" ht="17.100000000000001" customHeight="1" x14ac:dyDescent="0.2">
      <c r="A334" s="149"/>
      <c r="B334" s="307" t="s">
        <v>9</v>
      </c>
      <c r="C334" s="307"/>
      <c r="D334" s="307"/>
      <c r="E334" s="242"/>
      <c r="F334" s="242"/>
      <c r="G334" s="307" t="s">
        <v>10</v>
      </c>
      <c r="H334" s="307"/>
      <c r="I334" s="152"/>
    </row>
    <row r="335" spans="1:9" ht="17.100000000000001" customHeight="1" x14ac:dyDescent="0.2">
      <c r="A335" s="149"/>
      <c r="B335" s="306" t="s">
        <v>3</v>
      </c>
      <c r="C335" s="306"/>
      <c r="D335" s="154">
        <f>รายเดือน!E23</f>
        <v>0</v>
      </c>
      <c r="E335" s="154"/>
      <c r="F335" s="155"/>
      <c r="G335" s="243" t="s">
        <v>99</v>
      </c>
      <c r="H335" s="154">
        <v>0</v>
      </c>
      <c r="I335" s="169"/>
    </row>
    <row r="336" spans="1:9" ht="17.100000000000001" customHeight="1" x14ac:dyDescent="0.2">
      <c r="A336" s="149"/>
      <c r="B336" s="306" t="s">
        <v>106</v>
      </c>
      <c r="C336" s="306"/>
      <c r="D336" s="154">
        <v>0</v>
      </c>
      <c r="E336" s="154"/>
      <c r="F336" s="155"/>
      <c r="G336" s="243" t="s">
        <v>116</v>
      </c>
      <c r="H336" s="154">
        <f>รายเดือน!O23</f>
        <v>0</v>
      </c>
      <c r="I336" s="169"/>
    </row>
    <row r="337" spans="1:9" ht="17.100000000000001" customHeight="1" x14ac:dyDescent="0.2">
      <c r="A337" s="149"/>
      <c r="B337" s="306" t="s">
        <v>107</v>
      </c>
      <c r="C337" s="306"/>
      <c r="D337" s="154">
        <v>0</v>
      </c>
      <c r="E337" s="154"/>
      <c r="F337" s="155"/>
      <c r="G337" s="243" t="s">
        <v>54</v>
      </c>
      <c r="H337" s="154">
        <v>0</v>
      </c>
      <c r="I337" s="169"/>
    </row>
    <row r="338" spans="1:9" ht="17.100000000000001" customHeight="1" x14ac:dyDescent="0.2">
      <c r="A338" s="149"/>
      <c r="B338" s="306" t="s">
        <v>130</v>
      </c>
      <c r="C338" s="306"/>
      <c r="D338" s="154">
        <f>รายเดือน!H212</f>
        <v>0</v>
      </c>
      <c r="E338" s="154"/>
      <c r="F338" s="155"/>
      <c r="G338" s="243" t="s">
        <v>100</v>
      </c>
      <c r="H338" s="154">
        <v>0</v>
      </c>
      <c r="I338" s="169"/>
    </row>
    <row r="339" spans="1:9" ht="17.100000000000001" customHeight="1" x14ac:dyDescent="0.2">
      <c r="A339" s="149"/>
      <c r="B339" s="306" t="s">
        <v>661</v>
      </c>
      <c r="C339" s="306"/>
      <c r="D339" s="154">
        <f>รายเดือน!I23</f>
        <v>0</v>
      </c>
      <c r="E339" s="154"/>
      <c r="F339" s="155"/>
      <c r="G339" s="243" t="s">
        <v>377</v>
      </c>
      <c r="H339" s="156">
        <f>รายเดือน!S23</f>
        <v>0</v>
      </c>
      <c r="I339" s="169"/>
    </row>
    <row r="340" spans="1:9" ht="17.100000000000001" customHeight="1" x14ac:dyDescent="0.2">
      <c r="A340" s="149"/>
      <c r="B340" s="306" t="s">
        <v>662</v>
      </c>
      <c r="C340" s="306"/>
      <c r="D340" s="154">
        <f>รายเดือน!J23</f>
        <v>0</v>
      </c>
      <c r="E340" s="154"/>
      <c r="F340" s="155"/>
      <c r="G340" s="243" t="s">
        <v>56</v>
      </c>
      <c r="H340" s="156">
        <f>รายเดือน!T254</f>
        <v>0</v>
      </c>
      <c r="I340" s="169"/>
    </row>
    <row r="341" spans="1:9" ht="17.100000000000001" customHeight="1" x14ac:dyDescent="0.2">
      <c r="A341" s="149"/>
      <c r="B341" s="306" t="s">
        <v>136</v>
      </c>
      <c r="C341" s="306"/>
      <c r="D341" s="154">
        <f>รายเดือน!K340</f>
        <v>0</v>
      </c>
      <c r="E341" s="154"/>
      <c r="F341" s="155"/>
      <c r="G341" s="243" t="s">
        <v>57</v>
      </c>
      <c r="H341" s="156">
        <f>รายเดือน!U254</f>
        <v>0</v>
      </c>
      <c r="I341" s="169"/>
    </row>
    <row r="342" spans="1:9" ht="17.100000000000001" customHeight="1" x14ac:dyDescent="0.2">
      <c r="A342" s="149"/>
      <c r="B342" s="306" t="s">
        <v>6</v>
      </c>
      <c r="C342" s="306"/>
      <c r="D342" s="154">
        <v>0</v>
      </c>
      <c r="E342" s="154"/>
      <c r="F342" s="155"/>
      <c r="G342" s="243"/>
      <c r="H342" s="154"/>
      <c r="I342" s="169"/>
    </row>
    <row r="343" spans="1:9" ht="17.100000000000001" customHeight="1" x14ac:dyDescent="0.2">
      <c r="A343" s="149"/>
      <c r="B343" s="306" t="s">
        <v>7</v>
      </c>
      <c r="C343" s="306"/>
      <c r="D343" s="154">
        <v>0</v>
      </c>
      <c r="E343" s="154"/>
      <c r="F343" s="155"/>
      <c r="G343" s="243"/>
      <c r="H343" s="154"/>
      <c r="I343" s="169"/>
    </row>
    <row r="344" spans="1:9" ht="17.100000000000001" customHeight="1" x14ac:dyDescent="0.2">
      <c r="A344" s="149"/>
      <c r="B344" s="307" t="s">
        <v>117</v>
      </c>
      <c r="C344" s="307"/>
      <c r="D344" s="157">
        <f>SUM(D335:D343)</f>
        <v>0</v>
      </c>
      <c r="E344" s="157"/>
      <c r="F344" s="157"/>
      <c r="G344" s="242" t="s">
        <v>118</v>
      </c>
      <c r="H344" s="157">
        <f>SUM(H335:H343)</f>
        <v>0</v>
      </c>
      <c r="I344" s="169"/>
    </row>
    <row r="345" spans="1:9" ht="17.100000000000001" customHeight="1" x14ac:dyDescent="0.2">
      <c r="A345" s="149"/>
      <c r="B345" s="243"/>
      <c r="C345" s="242" t="s">
        <v>103</v>
      </c>
      <c r="D345" s="157">
        <f>D344-H344</f>
        <v>0</v>
      </c>
      <c r="E345" s="157"/>
      <c r="F345" s="158" t="s">
        <v>104</v>
      </c>
      <c r="H345" s="243"/>
      <c r="I345" s="152"/>
    </row>
    <row r="346" spans="1:9" ht="17.100000000000001" customHeight="1" x14ac:dyDescent="0.2">
      <c r="A346" s="149"/>
      <c r="B346" s="243"/>
      <c r="C346" s="307" t="str">
        <f>"("&amp;BAHTTEXT(D345)&amp;")"</f>
        <v>(ศูนย์บาทถ้วน)</v>
      </c>
      <c r="D346" s="307"/>
      <c r="E346" s="307"/>
      <c r="F346" s="307"/>
      <c r="G346" s="307"/>
      <c r="H346" s="243"/>
      <c r="I346" s="152"/>
    </row>
    <row r="347" spans="1:9" ht="17.100000000000001" customHeight="1" x14ac:dyDescent="0.2">
      <c r="A347" s="149"/>
      <c r="B347" s="243"/>
      <c r="C347" s="242"/>
      <c r="D347" s="242"/>
      <c r="E347" s="242"/>
      <c r="F347" s="242"/>
      <c r="G347" s="242"/>
      <c r="H347" s="243"/>
      <c r="I347" s="152"/>
    </row>
    <row r="348" spans="1:9" ht="17.100000000000001" customHeight="1" x14ac:dyDescent="0.2">
      <c r="A348" s="149"/>
      <c r="B348" s="243"/>
      <c r="C348" s="242"/>
      <c r="D348" s="242"/>
      <c r="E348" s="242"/>
      <c r="F348" s="242"/>
      <c r="G348" s="242"/>
      <c r="H348" s="243"/>
      <c r="I348" s="152"/>
    </row>
    <row r="349" spans="1:9" ht="17.100000000000001" customHeight="1" x14ac:dyDescent="0.2">
      <c r="A349" s="149"/>
      <c r="B349" s="243"/>
      <c r="C349" s="243"/>
      <c r="D349" s="243"/>
      <c r="E349" s="243"/>
      <c r="F349" s="243"/>
      <c r="G349" s="243"/>
      <c r="H349" s="243"/>
      <c r="I349" s="152"/>
    </row>
    <row r="350" spans="1:9" ht="17.100000000000001" customHeight="1" x14ac:dyDescent="0.2">
      <c r="A350" s="149"/>
      <c r="B350" s="243"/>
      <c r="C350" s="243"/>
      <c r="D350" s="243"/>
      <c r="E350" s="243"/>
      <c r="F350" s="243"/>
      <c r="G350" s="243"/>
      <c r="H350" s="243"/>
      <c r="I350" s="152"/>
    </row>
    <row r="351" spans="1:9" ht="17.100000000000001" customHeight="1" x14ac:dyDescent="0.2">
      <c r="A351" s="308" t="s">
        <v>315</v>
      </c>
      <c r="B351" s="307"/>
      <c r="C351" s="307"/>
      <c r="D351" s="307"/>
      <c r="E351" s="307"/>
      <c r="F351" s="307"/>
      <c r="G351" s="307"/>
      <c r="H351" s="307"/>
      <c r="I351" s="309"/>
    </row>
    <row r="352" spans="1:9" ht="17.100000000000001" customHeight="1" x14ac:dyDescent="0.2">
      <c r="A352" s="310" t="s">
        <v>298</v>
      </c>
      <c r="B352" s="311"/>
      <c r="C352" s="311"/>
      <c r="D352" s="311"/>
      <c r="E352" s="311"/>
      <c r="F352" s="311"/>
      <c r="G352" s="311"/>
      <c r="H352" s="311"/>
      <c r="I352" s="312"/>
    </row>
    <row r="353" spans="1:9" ht="17.100000000000001" customHeight="1" x14ac:dyDescent="0.2">
      <c r="A353" s="313" t="str">
        <f>A287</f>
        <v>โรงพยาบาลสามโคก  ประจำเดือน  พฤศจิกายน  2568</v>
      </c>
      <c r="B353" s="314"/>
      <c r="C353" s="314"/>
      <c r="D353" s="314"/>
      <c r="E353" s="314"/>
      <c r="F353" s="314"/>
      <c r="G353" s="314"/>
      <c r="H353" s="314"/>
      <c r="I353" s="315"/>
    </row>
    <row r="354" spans="1:9" ht="17.100000000000001" customHeight="1" x14ac:dyDescent="0.2">
      <c r="A354" s="308" t="s">
        <v>624</v>
      </c>
      <c r="B354" s="307"/>
      <c r="C354" s="307"/>
      <c r="D354" s="307"/>
      <c r="E354" s="307"/>
      <c r="F354" s="307"/>
      <c r="G354" s="307"/>
      <c r="H354" s="307"/>
      <c r="I354" s="309"/>
    </row>
    <row r="355" spans="1:9" ht="17.100000000000001" customHeight="1" x14ac:dyDescent="0.2">
      <c r="A355" s="149"/>
      <c r="B355" s="153"/>
      <c r="C355" s="243"/>
      <c r="D355" s="242"/>
      <c r="E355" s="242"/>
      <c r="F355" s="242"/>
      <c r="G355" s="243"/>
      <c r="H355" s="243"/>
      <c r="I355" s="152"/>
    </row>
    <row r="356" spans="1:9" ht="17.100000000000001" customHeight="1" x14ac:dyDescent="0.2">
      <c r="A356" s="149"/>
      <c r="B356" s="307" t="s">
        <v>9</v>
      </c>
      <c r="C356" s="307"/>
      <c r="D356" s="307"/>
      <c r="E356" s="242"/>
      <c r="F356" s="242"/>
      <c r="G356" s="307" t="s">
        <v>10</v>
      </c>
      <c r="H356" s="307"/>
      <c r="I356" s="152"/>
    </row>
    <row r="357" spans="1:9" ht="17.100000000000001" customHeight="1" x14ac:dyDescent="0.2">
      <c r="A357" s="149"/>
      <c r="B357" s="306" t="s">
        <v>3</v>
      </c>
      <c r="C357" s="306"/>
      <c r="D357" s="154">
        <f>รายเดือน!E24</f>
        <v>0</v>
      </c>
      <c r="E357" s="154"/>
      <c r="F357" s="155"/>
      <c r="G357" s="243" t="s">
        <v>99</v>
      </c>
      <c r="H357" s="154">
        <v>0</v>
      </c>
      <c r="I357" s="169"/>
    </row>
    <row r="358" spans="1:9" ht="17.100000000000001" customHeight="1" x14ac:dyDescent="0.2">
      <c r="A358" s="149"/>
      <c r="B358" s="306" t="s">
        <v>106</v>
      </c>
      <c r="C358" s="306"/>
      <c r="D358" s="154">
        <v>0</v>
      </c>
      <c r="E358" s="154"/>
      <c r="F358" s="155"/>
      <c r="G358" s="243" t="s">
        <v>116</v>
      </c>
      <c r="H358" s="154">
        <f>รายเดือน!O24</f>
        <v>0</v>
      </c>
      <c r="I358" s="169"/>
    </row>
    <row r="359" spans="1:9" ht="17.100000000000001" customHeight="1" x14ac:dyDescent="0.2">
      <c r="A359" s="149"/>
      <c r="B359" s="306" t="s">
        <v>107</v>
      </c>
      <c r="C359" s="306"/>
      <c r="D359" s="154">
        <v>0</v>
      </c>
      <c r="E359" s="154"/>
      <c r="F359" s="155"/>
      <c r="G359" s="243" t="s">
        <v>54</v>
      </c>
      <c r="H359" s="154">
        <v>0</v>
      </c>
      <c r="I359" s="169"/>
    </row>
    <row r="360" spans="1:9" ht="17.100000000000001" customHeight="1" x14ac:dyDescent="0.2">
      <c r="A360" s="149"/>
      <c r="B360" s="306" t="s">
        <v>130</v>
      </c>
      <c r="C360" s="306"/>
      <c r="D360" s="154">
        <f>รายเดือน!H234</f>
        <v>0</v>
      </c>
      <c r="E360" s="154"/>
      <c r="F360" s="155"/>
      <c r="G360" s="243" t="s">
        <v>100</v>
      </c>
      <c r="H360" s="154">
        <v>0</v>
      </c>
      <c r="I360" s="169"/>
    </row>
    <row r="361" spans="1:9" ht="17.100000000000001" customHeight="1" x14ac:dyDescent="0.2">
      <c r="A361" s="149"/>
      <c r="B361" s="306" t="s">
        <v>661</v>
      </c>
      <c r="C361" s="306"/>
      <c r="D361" s="154">
        <f>รายเดือน!I24</f>
        <v>0</v>
      </c>
      <c r="E361" s="154"/>
      <c r="F361" s="155"/>
      <c r="G361" s="243" t="s">
        <v>377</v>
      </c>
      <c r="H361" s="156">
        <f>รายเดือน!S276</f>
        <v>0</v>
      </c>
      <c r="I361" s="169"/>
    </row>
    <row r="362" spans="1:9" ht="17.100000000000001" customHeight="1" x14ac:dyDescent="0.2">
      <c r="A362" s="149"/>
      <c r="B362" s="306" t="s">
        <v>662</v>
      </c>
      <c r="C362" s="306"/>
      <c r="D362" s="154">
        <f>รายเดือน!J24</f>
        <v>0</v>
      </c>
      <c r="E362" s="154"/>
      <c r="F362" s="155"/>
      <c r="G362" s="243" t="s">
        <v>56</v>
      </c>
      <c r="H362" s="156">
        <f>รายเดือน!T276</f>
        <v>0</v>
      </c>
      <c r="I362" s="169"/>
    </row>
    <row r="363" spans="1:9" ht="17.100000000000001" customHeight="1" x14ac:dyDescent="0.2">
      <c r="A363" s="149"/>
      <c r="B363" s="306" t="s">
        <v>136</v>
      </c>
      <c r="C363" s="306"/>
      <c r="D363" s="154">
        <f>รายเดือน!K362</f>
        <v>0</v>
      </c>
      <c r="E363" s="154"/>
      <c r="F363" s="155"/>
      <c r="G363" s="243" t="s">
        <v>57</v>
      </c>
      <c r="H363" s="156">
        <f>รายเดือน!U276</f>
        <v>0</v>
      </c>
      <c r="I363" s="169"/>
    </row>
    <row r="364" spans="1:9" ht="17.100000000000001" customHeight="1" x14ac:dyDescent="0.2">
      <c r="A364" s="149"/>
      <c r="B364" s="306" t="s">
        <v>6</v>
      </c>
      <c r="C364" s="306"/>
      <c r="D364" s="154">
        <v>0</v>
      </c>
      <c r="E364" s="154"/>
      <c r="F364" s="155"/>
      <c r="G364" s="243"/>
      <c r="H364" s="154"/>
      <c r="I364" s="169"/>
    </row>
    <row r="365" spans="1:9" ht="17.100000000000001" customHeight="1" x14ac:dyDescent="0.2">
      <c r="A365" s="149"/>
      <c r="B365" s="306" t="s">
        <v>7</v>
      </c>
      <c r="C365" s="306"/>
      <c r="D365" s="154">
        <v>0</v>
      </c>
      <c r="E365" s="154"/>
      <c r="F365" s="155"/>
      <c r="G365" s="243"/>
      <c r="H365" s="154"/>
      <c r="I365" s="169"/>
    </row>
    <row r="366" spans="1:9" ht="17.100000000000001" customHeight="1" x14ac:dyDescent="0.2">
      <c r="A366" s="149"/>
      <c r="B366" s="307" t="s">
        <v>117</v>
      </c>
      <c r="C366" s="307"/>
      <c r="D366" s="157">
        <f>SUM(D357:D365)</f>
        <v>0</v>
      </c>
      <c r="E366" s="157"/>
      <c r="F366" s="157"/>
      <c r="G366" s="242" t="s">
        <v>118</v>
      </c>
      <c r="H366" s="157">
        <f>SUM(H357:H365)</f>
        <v>0</v>
      </c>
      <c r="I366" s="169"/>
    </row>
    <row r="367" spans="1:9" ht="17.100000000000001" customHeight="1" x14ac:dyDescent="0.2">
      <c r="A367" s="149"/>
      <c r="B367" s="243"/>
      <c r="C367" s="242" t="s">
        <v>103</v>
      </c>
      <c r="D367" s="157">
        <f>D366-H366</f>
        <v>0</v>
      </c>
      <c r="E367" s="157"/>
      <c r="F367" s="158" t="s">
        <v>104</v>
      </c>
      <c r="H367" s="243"/>
      <c r="I367" s="152"/>
    </row>
    <row r="368" spans="1:9" ht="17.100000000000001" customHeight="1" x14ac:dyDescent="0.2">
      <c r="A368" s="149"/>
      <c r="B368" s="243"/>
      <c r="C368" s="307" t="str">
        <f>"("&amp;BAHTTEXT(D367)&amp;")"</f>
        <v>(ศูนย์บาทถ้วน)</v>
      </c>
      <c r="D368" s="307"/>
      <c r="E368" s="307"/>
      <c r="F368" s="307"/>
      <c r="G368" s="307"/>
      <c r="H368" s="243"/>
      <c r="I368" s="152"/>
    </row>
    <row r="369" spans="1:9" ht="17.100000000000001" customHeight="1" x14ac:dyDescent="0.2">
      <c r="A369" s="149"/>
      <c r="B369" s="243"/>
      <c r="C369" s="242"/>
      <c r="D369" s="242"/>
      <c r="E369" s="242"/>
      <c r="F369" s="242"/>
      <c r="G369" s="242"/>
      <c r="H369" s="243"/>
      <c r="I369" s="152"/>
    </row>
    <row r="370" spans="1:9" ht="17.100000000000001" customHeight="1" x14ac:dyDescent="0.2">
      <c r="A370" s="149"/>
      <c r="B370" s="243"/>
      <c r="C370" s="242"/>
      <c r="D370" s="242"/>
      <c r="E370" s="242"/>
      <c r="F370" s="242"/>
      <c r="G370" s="242"/>
      <c r="H370" s="243"/>
      <c r="I370" s="152"/>
    </row>
    <row r="371" spans="1:9" ht="17.100000000000001" customHeight="1" x14ac:dyDescent="0.2">
      <c r="A371" s="149"/>
      <c r="B371" s="243"/>
      <c r="C371" s="243"/>
      <c r="D371" s="243"/>
      <c r="E371" s="243"/>
      <c r="F371" s="243"/>
      <c r="G371" s="243"/>
      <c r="H371" s="243"/>
      <c r="I371" s="152"/>
    </row>
    <row r="372" spans="1:9" ht="17.100000000000001" customHeight="1" x14ac:dyDescent="0.2">
      <c r="A372" s="149"/>
      <c r="B372" s="243"/>
      <c r="C372" s="243"/>
      <c r="D372" s="243"/>
      <c r="E372" s="243"/>
      <c r="F372" s="243"/>
      <c r="G372" s="243"/>
      <c r="H372" s="243"/>
      <c r="I372" s="152"/>
    </row>
    <row r="373" spans="1:9" ht="17.100000000000001" customHeight="1" x14ac:dyDescent="0.2">
      <c r="A373" s="308" t="s">
        <v>315</v>
      </c>
      <c r="B373" s="307"/>
      <c r="C373" s="307"/>
      <c r="D373" s="307"/>
      <c r="E373" s="307"/>
      <c r="F373" s="307"/>
      <c r="G373" s="307"/>
      <c r="H373" s="307"/>
      <c r="I373" s="309"/>
    </row>
    <row r="374" spans="1:9" ht="17.100000000000001" customHeight="1" x14ac:dyDescent="0.2">
      <c r="A374" s="310" t="s">
        <v>298</v>
      </c>
      <c r="B374" s="311"/>
      <c r="C374" s="311"/>
      <c r="D374" s="311"/>
      <c r="E374" s="311"/>
      <c r="F374" s="311"/>
      <c r="G374" s="311"/>
      <c r="H374" s="311"/>
      <c r="I374" s="312"/>
    </row>
    <row r="375" spans="1:9" ht="17.100000000000001" customHeight="1" x14ac:dyDescent="0.2">
      <c r="A375" s="313" t="str">
        <f>A309</f>
        <v>โรงพยาบาลสามโคก  ประจำเดือน  พฤศจิกายน  2568</v>
      </c>
      <c r="B375" s="314"/>
      <c r="C375" s="314"/>
      <c r="D375" s="314"/>
      <c r="E375" s="314"/>
      <c r="F375" s="314"/>
      <c r="G375" s="314"/>
      <c r="H375" s="314"/>
      <c r="I375" s="315"/>
    </row>
    <row r="376" spans="1:9" ht="17.100000000000001" customHeight="1" x14ac:dyDescent="0.2">
      <c r="A376" s="308" t="s">
        <v>459</v>
      </c>
      <c r="B376" s="307"/>
      <c r="C376" s="307"/>
      <c r="D376" s="307"/>
      <c r="E376" s="307"/>
      <c r="F376" s="307"/>
      <c r="G376" s="307"/>
      <c r="H376" s="307"/>
      <c r="I376" s="309"/>
    </row>
    <row r="377" spans="1:9" ht="17.100000000000001" customHeight="1" x14ac:dyDescent="0.2">
      <c r="A377" s="149"/>
      <c r="B377" s="153"/>
      <c r="C377" s="243"/>
      <c r="D377" s="242"/>
      <c r="E377" s="242"/>
      <c r="F377" s="242"/>
      <c r="G377" s="243"/>
      <c r="H377" s="243"/>
      <c r="I377" s="152"/>
    </row>
    <row r="378" spans="1:9" ht="17.100000000000001" customHeight="1" x14ac:dyDescent="0.2">
      <c r="A378" s="149"/>
      <c r="B378" s="307" t="s">
        <v>9</v>
      </c>
      <c r="C378" s="307"/>
      <c r="D378" s="307"/>
      <c r="E378" s="242"/>
      <c r="F378" s="242"/>
      <c r="G378" s="307" t="s">
        <v>10</v>
      </c>
      <c r="H378" s="307"/>
      <c r="I378" s="152"/>
    </row>
    <row r="379" spans="1:9" ht="17.100000000000001" customHeight="1" x14ac:dyDescent="0.2">
      <c r="A379" s="149"/>
      <c r="B379" s="306" t="s">
        <v>3</v>
      </c>
      <c r="C379" s="306"/>
      <c r="D379" s="154">
        <f>รายเดือน!E25</f>
        <v>0</v>
      </c>
      <c r="E379" s="154"/>
      <c r="F379" s="155"/>
      <c r="G379" s="243" t="s">
        <v>99</v>
      </c>
      <c r="H379" s="154">
        <v>0</v>
      </c>
      <c r="I379" s="169"/>
    </row>
    <row r="380" spans="1:9" ht="17.100000000000001" customHeight="1" x14ac:dyDescent="0.2">
      <c r="A380" s="149"/>
      <c r="B380" s="306" t="s">
        <v>106</v>
      </c>
      <c r="C380" s="306"/>
      <c r="D380" s="154">
        <v>0</v>
      </c>
      <c r="E380" s="154"/>
      <c r="F380" s="155"/>
      <c r="G380" s="243" t="s">
        <v>116</v>
      </c>
      <c r="H380" s="154">
        <f>รายเดือน!O25</f>
        <v>0</v>
      </c>
      <c r="I380" s="169"/>
    </row>
    <row r="381" spans="1:9" ht="17.100000000000001" customHeight="1" x14ac:dyDescent="0.2">
      <c r="A381" s="149"/>
      <c r="B381" s="306" t="s">
        <v>107</v>
      </c>
      <c r="C381" s="306"/>
      <c r="D381" s="154">
        <v>0</v>
      </c>
      <c r="E381" s="154"/>
      <c r="F381" s="155"/>
      <c r="G381" s="243" t="s">
        <v>54</v>
      </c>
      <c r="H381" s="154">
        <v>0</v>
      </c>
      <c r="I381" s="169"/>
    </row>
    <row r="382" spans="1:9" ht="17.100000000000001" customHeight="1" x14ac:dyDescent="0.2">
      <c r="A382" s="149"/>
      <c r="B382" s="306" t="s">
        <v>130</v>
      </c>
      <c r="C382" s="306"/>
      <c r="D382" s="154">
        <f>รายเดือน!H256</f>
        <v>0</v>
      </c>
      <c r="E382" s="154"/>
      <c r="F382" s="155"/>
      <c r="G382" s="243" t="s">
        <v>100</v>
      </c>
      <c r="H382" s="154">
        <v>0</v>
      </c>
      <c r="I382" s="169"/>
    </row>
    <row r="383" spans="1:9" ht="17.100000000000001" customHeight="1" x14ac:dyDescent="0.2">
      <c r="A383" s="149"/>
      <c r="B383" s="306" t="s">
        <v>661</v>
      </c>
      <c r="C383" s="306"/>
      <c r="D383" s="154">
        <f>รายเดือน!I25</f>
        <v>0</v>
      </c>
      <c r="E383" s="154"/>
      <c r="F383" s="155"/>
      <c r="G383" s="243" t="s">
        <v>377</v>
      </c>
      <c r="H383" s="156">
        <f>รายเดือน!S298</f>
        <v>0</v>
      </c>
      <c r="I383" s="169"/>
    </row>
    <row r="384" spans="1:9" ht="17.100000000000001" customHeight="1" x14ac:dyDescent="0.2">
      <c r="A384" s="149"/>
      <c r="B384" s="306" t="s">
        <v>662</v>
      </c>
      <c r="C384" s="306"/>
      <c r="D384" s="154">
        <f>รายเดือน!J25</f>
        <v>0</v>
      </c>
      <c r="E384" s="154"/>
      <c r="F384" s="155"/>
      <c r="G384" s="243" t="s">
        <v>56</v>
      </c>
      <c r="H384" s="156">
        <f>รายเดือน!T298</f>
        <v>0</v>
      </c>
      <c r="I384" s="169"/>
    </row>
    <row r="385" spans="1:9" ht="17.100000000000001" customHeight="1" x14ac:dyDescent="0.2">
      <c r="A385" s="149"/>
      <c r="B385" s="306" t="s">
        <v>136</v>
      </c>
      <c r="C385" s="306"/>
      <c r="D385" s="154">
        <f>รายเดือน!K384</f>
        <v>0</v>
      </c>
      <c r="E385" s="154"/>
      <c r="F385" s="155"/>
      <c r="G385" s="243" t="s">
        <v>57</v>
      </c>
      <c r="H385" s="156">
        <f>รายเดือน!U298</f>
        <v>0</v>
      </c>
      <c r="I385" s="169"/>
    </row>
    <row r="386" spans="1:9" ht="17.100000000000001" customHeight="1" x14ac:dyDescent="0.2">
      <c r="A386" s="149"/>
      <c r="B386" s="306" t="s">
        <v>6</v>
      </c>
      <c r="C386" s="306"/>
      <c r="D386" s="154">
        <v>0</v>
      </c>
      <c r="E386" s="154"/>
      <c r="F386" s="155"/>
      <c r="G386" s="243"/>
      <c r="H386" s="154"/>
      <c r="I386" s="169"/>
    </row>
    <row r="387" spans="1:9" ht="17.100000000000001" customHeight="1" x14ac:dyDescent="0.2">
      <c r="A387" s="149"/>
      <c r="B387" s="306" t="s">
        <v>7</v>
      </c>
      <c r="C387" s="306"/>
      <c r="D387" s="154">
        <v>0</v>
      </c>
      <c r="E387" s="154"/>
      <c r="F387" s="155"/>
      <c r="G387" s="243"/>
      <c r="H387" s="154"/>
      <c r="I387" s="169"/>
    </row>
    <row r="388" spans="1:9" ht="17.100000000000001" customHeight="1" x14ac:dyDescent="0.2">
      <c r="A388" s="149"/>
      <c r="B388" s="307" t="s">
        <v>117</v>
      </c>
      <c r="C388" s="307"/>
      <c r="D388" s="157">
        <f>SUM(D379:D387)</f>
        <v>0</v>
      </c>
      <c r="E388" s="157"/>
      <c r="F388" s="157"/>
      <c r="G388" s="242" t="s">
        <v>118</v>
      </c>
      <c r="H388" s="157">
        <f>SUM(H379:H387)</f>
        <v>0</v>
      </c>
      <c r="I388" s="169"/>
    </row>
    <row r="389" spans="1:9" ht="17.100000000000001" customHeight="1" x14ac:dyDescent="0.2">
      <c r="A389" s="149"/>
      <c r="B389" s="243"/>
      <c r="C389" s="242" t="s">
        <v>103</v>
      </c>
      <c r="D389" s="157">
        <f>D388-H388</f>
        <v>0</v>
      </c>
      <c r="E389" s="157"/>
      <c r="F389" s="158" t="s">
        <v>104</v>
      </c>
      <c r="H389" s="243"/>
      <c r="I389" s="152"/>
    </row>
    <row r="390" spans="1:9" ht="17.100000000000001" customHeight="1" x14ac:dyDescent="0.2">
      <c r="A390" s="149"/>
      <c r="B390" s="243"/>
      <c r="C390" s="307" t="str">
        <f>"("&amp;BAHTTEXT(D389)&amp;")"</f>
        <v>(ศูนย์บาทถ้วน)</v>
      </c>
      <c r="D390" s="307"/>
      <c r="E390" s="307"/>
      <c r="F390" s="307"/>
      <c r="G390" s="307"/>
      <c r="H390" s="243"/>
      <c r="I390" s="152"/>
    </row>
    <row r="391" spans="1:9" ht="17.100000000000001" customHeight="1" x14ac:dyDescent="0.2">
      <c r="A391" s="149"/>
      <c r="B391" s="243"/>
      <c r="C391" s="242"/>
      <c r="D391" s="242"/>
      <c r="E391" s="242"/>
      <c r="F391" s="242"/>
      <c r="G391" s="242"/>
      <c r="H391" s="243"/>
      <c r="I391" s="152"/>
    </row>
    <row r="392" spans="1:9" ht="17.100000000000001" customHeight="1" x14ac:dyDescent="0.2">
      <c r="A392" s="149"/>
      <c r="B392" s="243"/>
      <c r="C392" s="242"/>
      <c r="D392" s="242"/>
      <c r="E392" s="242"/>
      <c r="F392" s="242"/>
      <c r="G392" s="242"/>
      <c r="H392" s="243"/>
      <c r="I392" s="152"/>
    </row>
    <row r="393" spans="1:9" ht="17.100000000000001" customHeight="1" x14ac:dyDescent="0.2">
      <c r="A393" s="149"/>
      <c r="B393" s="243"/>
      <c r="C393" s="243"/>
      <c r="D393" s="243"/>
      <c r="E393" s="243"/>
      <c r="F393" s="243"/>
      <c r="G393" s="243"/>
      <c r="H393" s="243"/>
      <c r="I393" s="152"/>
    </row>
    <row r="394" spans="1:9" ht="17.100000000000001" customHeight="1" x14ac:dyDescent="0.2">
      <c r="A394" s="149"/>
      <c r="B394" s="243"/>
      <c r="C394" s="243"/>
      <c r="D394" s="243"/>
      <c r="E394" s="243"/>
      <c r="F394" s="243"/>
      <c r="G394" s="243"/>
      <c r="H394" s="243"/>
      <c r="I394" s="152"/>
    </row>
    <row r="395" spans="1:9" ht="17.100000000000001" customHeight="1" x14ac:dyDescent="0.2">
      <c r="A395" s="308" t="s">
        <v>315</v>
      </c>
      <c r="B395" s="307"/>
      <c r="C395" s="307"/>
      <c r="D395" s="307"/>
      <c r="E395" s="307"/>
      <c r="F395" s="307"/>
      <c r="G395" s="307"/>
      <c r="H395" s="307"/>
      <c r="I395" s="309"/>
    </row>
    <row r="396" spans="1:9" ht="17.100000000000001" customHeight="1" x14ac:dyDescent="0.2">
      <c r="A396" s="310" t="s">
        <v>298</v>
      </c>
      <c r="B396" s="311"/>
      <c r="C396" s="311"/>
      <c r="D396" s="311"/>
      <c r="E396" s="311"/>
      <c r="F396" s="311"/>
      <c r="G396" s="311"/>
      <c r="H396" s="311"/>
      <c r="I396" s="312"/>
    </row>
  </sheetData>
  <mergeCells count="306">
    <mergeCell ref="B11:C11"/>
    <mergeCell ref="B12:C12"/>
    <mergeCell ref="B13:C13"/>
    <mergeCell ref="B14:C14"/>
    <mergeCell ref="B35:C35"/>
    <mergeCell ref="A21:I21"/>
    <mergeCell ref="A1:I1"/>
    <mergeCell ref="B10:C10"/>
    <mergeCell ref="A2:I2"/>
    <mergeCell ref="B4:D4"/>
    <mergeCell ref="G4:H4"/>
    <mergeCell ref="B5:C5"/>
    <mergeCell ref="B6:C6"/>
    <mergeCell ref="B7:C7"/>
    <mergeCell ref="B8:C8"/>
    <mergeCell ref="B9:C9"/>
    <mergeCell ref="C16:G16"/>
    <mergeCell ref="B31:C31"/>
    <mergeCell ref="B32:C32"/>
    <mergeCell ref="A22:I22"/>
    <mergeCell ref="B27:C27"/>
    <mergeCell ref="A24:I24"/>
    <mergeCell ref="B33:C33"/>
    <mergeCell ref="B34:C34"/>
    <mergeCell ref="A88:I88"/>
    <mergeCell ref="B76:C76"/>
    <mergeCell ref="B77:C77"/>
    <mergeCell ref="B78:C78"/>
    <mergeCell ref="A43:I43"/>
    <mergeCell ref="B58:C58"/>
    <mergeCell ref="B48:D48"/>
    <mergeCell ref="G48:H48"/>
    <mergeCell ref="A44:I44"/>
    <mergeCell ref="A45:I45"/>
    <mergeCell ref="B80:C80"/>
    <mergeCell ref="C82:G82"/>
    <mergeCell ref="A87:I87"/>
    <mergeCell ref="B79:C79"/>
    <mergeCell ref="B70:D70"/>
    <mergeCell ref="G70:H70"/>
    <mergeCell ref="B71:C71"/>
    <mergeCell ref="B72:C72"/>
    <mergeCell ref="C60:G60"/>
    <mergeCell ref="B73:C73"/>
    <mergeCell ref="B74:C74"/>
    <mergeCell ref="B75:C75"/>
    <mergeCell ref="A65:I65"/>
    <mergeCell ref="A66:I66"/>
    <mergeCell ref="B36:C36"/>
    <mergeCell ref="C38:G38"/>
    <mergeCell ref="B53:C53"/>
    <mergeCell ref="B54:C54"/>
    <mergeCell ref="A46:I46"/>
    <mergeCell ref="B28:C28"/>
    <mergeCell ref="B29:C29"/>
    <mergeCell ref="A23:I23"/>
    <mergeCell ref="B26:D26"/>
    <mergeCell ref="G26:H26"/>
    <mergeCell ref="B30:C30"/>
    <mergeCell ref="A67:I67"/>
    <mergeCell ref="B49:C49"/>
    <mergeCell ref="B50:C50"/>
    <mergeCell ref="B51:C51"/>
    <mergeCell ref="B52:C52"/>
    <mergeCell ref="A68:I68"/>
    <mergeCell ref="B55:C55"/>
    <mergeCell ref="B56:C56"/>
    <mergeCell ref="B57:C57"/>
    <mergeCell ref="A111:I111"/>
    <mergeCell ref="A112:I112"/>
    <mergeCell ref="B114:D114"/>
    <mergeCell ref="G114:H114"/>
    <mergeCell ref="B115:C115"/>
    <mergeCell ref="B96:C96"/>
    <mergeCell ref="B97:C97"/>
    <mergeCell ref="B98:C98"/>
    <mergeCell ref="A89:I89"/>
    <mergeCell ref="B94:C94"/>
    <mergeCell ref="B95:C95"/>
    <mergeCell ref="A110:I110"/>
    <mergeCell ref="B99:C99"/>
    <mergeCell ref="B100:C100"/>
    <mergeCell ref="B101:C101"/>
    <mergeCell ref="B102:C102"/>
    <mergeCell ref="C104:G104"/>
    <mergeCell ref="A109:I109"/>
    <mergeCell ref="B92:D92"/>
    <mergeCell ref="G92:H92"/>
    <mergeCell ref="B93:C93"/>
    <mergeCell ref="A90:I90"/>
    <mergeCell ref="B121:C121"/>
    <mergeCell ref="B122:C122"/>
    <mergeCell ref="B123:C123"/>
    <mergeCell ref="B124:C124"/>
    <mergeCell ref="C126:G126"/>
    <mergeCell ref="B116:C116"/>
    <mergeCell ref="B117:C117"/>
    <mergeCell ref="B118:C118"/>
    <mergeCell ref="B119:C119"/>
    <mergeCell ref="B120:C120"/>
    <mergeCell ref="B136:D136"/>
    <mergeCell ref="G136:H136"/>
    <mergeCell ref="B137:C137"/>
    <mergeCell ref="B138:C138"/>
    <mergeCell ref="B139:C139"/>
    <mergeCell ref="A133:I133"/>
    <mergeCell ref="A134:I134"/>
    <mergeCell ref="A131:I131"/>
    <mergeCell ref="A132:I132"/>
    <mergeCell ref="B145:C145"/>
    <mergeCell ref="B146:C146"/>
    <mergeCell ref="C148:G148"/>
    <mergeCell ref="A153:I153"/>
    <mergeCell ref="A154:I154"/>
    <mergeCell ref="B140:C140"/>
    <mergeCell ref="B141:C141"/>
    <mergeCell ref="B142:C142"/>
    <mergeCell ref="B143:C143"/>
    <mergeCell ref="B144:C144"/>
    <mergeCell ref="B160:C160"/>
    <mergeCell ref="B161:C161"/>
    <mergeCell ref="B162:C162"/>
    <mergeCell ref="B163:C163"/>
    <mergeCell ref="B164:C164"/>
    <mergeCell ref="A155:I155"/>
    <mergeCell ref="A156:I156"/>
    <mergeCell ref="B158:D158"/>
    <mergeCell ref="G158:H158"/>
    <mergeCell ref="B159:C159"/>
    <mergeCell ref="A175:I175"/>
    <mergeCell ref="A176:I176"/>
    <mergeCell ref="A177:I177"/>
    <mergeCell ref="A178:I178"/>
    <mergeCell ref="B180:D180"/>
    <mergeCell ref="G180:H180"/>
    <mergeCell ref="B165:C165"/>
    <mergeCell ref="B166:C166"/>
    <mergeCell ref="B167:C167"/>
    <mergeCell ref="B168:C168"/>
    <mergeCell ref="C170:G170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202:D202"/>
    <mergeCell ref="G202:H202"/>
    <mergeCell ref="B203:C203"/>
    <mergeCell ref="B204:C204"/>
    <mergeCell ref="B205:C205"/>
    <mergeCell ref="C192:G192"/>
    <mergeCell ref="A197:I197"/>
    <mergeCell ref="A198:I198"/>
    <mergeCell ref="A199:I199"/>
    <mergeCell ref="A200:I200"/>
    <mergeCell ref="B211:C211"/>
    <mergeCell ref="B212:C212"/>
    <mergeCell ref="C214:G214"/>
    <mergeCell ref="A219:I219"/>
    <mergeCell ref="A220:I220"/>
    <mergeCell ref="B206:C206"/>
    <mergeCell ref="B207:C207"/>
    <mergeCell ref="B208:C208"/>
    <mergeCell ref="B209:C209"/>
    <mergeCell ref="B210:C210"/>
    <mergeCell ref="B226:C226"/>
    <mergeCell ref="B227:C227"/>
    <mergeCell ref="B228:C228"/>
    <mergeCell ref="B229:C229"/>
    <mergeCell ref="B230:C230"/>
    <mergeCell ref="A221:I221"/>
    <mergeCell ref="A222:I222"/>
    <mergeCell ref="B224:D224"/>
    <mergeCell ref="G224:H224"/>
    <mergeCell ref="B225:C225"/>
    <mergeCell ref="A241:I241"/>
    <mergeCell ref="A242:I242"/>
    <mergeCell ref="A243:I243"/>
    <mergeCell ref="A244:I244"/>
    <mergeCell ref="B246:D246"/>
    <mergeCell ref="G246:H246"/>
    <mergeCell ref="B231:C231"/>
    <mergeCell ref="B232:C232"/>
    <mergeCell ref="B233:C233"/>
    <mergeCell ref="B234:C234"/>
    <mergeCell ref="C236:G236"/>
    <mergeCell ref="B252:C252"/>
    <mergeCell ref="B253:C253"/>
    <mergeCell ref="B254:C254"/>
    <mergeCell ref="B255:C255"/>
    <mergeCell ref="B256:C256"/>
    <mergeCell ref="B247:C247"/>
    <mergeCell ref="B248:C248"/>
    <mergeCell ref="B249:C249"/>
    <mergeCell ref="B250:C250"/>
    <mergeCell ref="B251:C251"/>
    <mergeCell ref="B268:D268"/>
    <mergeCell ref="G268:H268"/>
    <mergeCell ref="B269:C269"/>
    <mergeCell ref="B270:C270"/>
    <mergeCell ref="B271:C271"/>
    <mergeCell ref="C258:G258"/>
    <mergeCell ref="A263:I263"/>
    <mergeCell ref="A264:I264"/>
    <mergeCell ref="A265:I265"/>
    <mergeCell ref="A266:I266"/>
    <mergeCell ref="B277:C277"/>
    <mergeCell ref="B278:C278"/>
    <mergeCell ref="C280:G280"/>
    <mergeCell ref="A285:I285"/>
    <mergeCell ref="A286:I286"/>
    <mergeCell ref="B272:C272"/>
    <mergeCell ref="B273:C273"/>
    <mergeCell ref="B274:C274"/>
    <mergeCell ref="B275:C275"/>
    <mergeCell ref="B276:C276"/>
    <mergeCell ref="B292:C292"/>
    <mergeCell ref="B293:C293"/>
    <mergeCell ref="B294:C294"/>
    <mergeCell ref="B295:C295"/>
    <mergeCell ref="B296:C296"/>
    <mergeCell ref="A287:I287"/>
    <mergeCell ref="A288:I288"/>
    <mergeCell ref="B290:D290"/>
    <mergeCell ref="G290:H290"/>
    <mergeCell ref="B291:C291"/>
    <mergeCell ref="A307:I307"/>
    <mergeCell ref="A308:I308"/>
    <mergeCell ref="A309:I309"/>
    <mergeCell ref="A310:I310"/>
    <mergeCell ref="B312:D312"/>
    <mergeCell ref="G312:H312"/>
    <mergeCell ref="B297:C297"/>
    <mergeCell ref="B298:C298"/>
    <mergeCell ref="B299:C299"/>
    <mergeCell ref="B300:C300"/>
    <mergeCell ref="C302:G302"/>
    <mergeCell ref="B318:C318"/>
    <mergeCell ref="B319:C319"/>
    <mergeCell ref="B320:C320"/>
    <mergeCell ref="B321:C321"/>
    <mergeCell ref="B322:C322"/>
    <mergeCell ref="B313:C313"/>
    <mergeCell ref="B314:C314"/>
    <mergeCell ref="B315:C315"/>
    <mergeCell ref="B316:C316"/>
    <mergeCell ref="B317:C317"/>
    <mergeCell ref="B334:D334"/>
    <mergeCell ref="G334:H334"/>
    <mergeCell ref="B335:C335"/>
    <mergeCell ref="B336:C336"/>
    <mergeCell ref="B337:C337"/>
    <mergeCell ref="C324:G324"/>
    <mergeCell ref="A329:I329"/>
    <mergeCell ref="A330:I330"/>
    <mergeCell ref="A331:I331"/>
    <mergeCell ref="A332:I332"/>
    <mergeCell ref="B343:C343"/>
    <mergeCell ref="B344:C344"/>
    <mergeCell ref="C346:G346"/>
    <mergeCell ref="A351:I351"/>
    <mergeCell ref="A352:I352"/>
    <mergeCell ref="B338:C338"/>
    <mergeCell ref="B339:C339"/>
    <mergeCell ref="B340:C340"/>
    <mergeCell ref="B341:C341"/>
    <mergeCell ref="B342:C342"/>
    <mergeCell ref="B358:C358"/>
    <mergeCell ref="B359:C359"/>
    <mergeCell ref="B360:C360"/>
    <mergeCell ref="B361:C361"/>
    <mergeCell ref="B362:C362"/>
    <mergeCell ref="A353:I353"/>
    <mergeCell ref="A354:I354"/>
    <mergeCell ref="B356:D356"/>
    <mergeCell ref="G356:H356"/>
    <mergeCell ref="B357:C357"/>
    <mergeCell ref="A373:I373"/>
    <mergeCell ref="A374:I374"/>
    <mergeCell ref="A375:I375"/>
    <mergeCell ref="A376:I376"/>
    <mergeCell ref="B378:D378"/>
    <mergeCell ref="G378:H378"/>
    <mergeCell ref="B363:C363"/>
    <mergeCell ref="B364:C364"/>
    <mergeCell ref="B365:C365"/>
    <mergeCell ref="B366:C366"/>
    <mergeCell ref="C368:G368"/>
    <mergeCell ref="C390:G390"/>
    <mergeCell ref="A395:I395"/>
    <mergeCell ref="A396:I396"/>
    <mergeCell ref="B384:C384"/>
    <mergeCell ref="B385:C385"/>
    <mergeCell ref="B386:C386"/>
    <mergeCell ref="B387:C387"/>
    <mergeCell ref="B388:C388"/>
    <mergeCell ref="B379:C379"/>
    <mergeCell ref="B380:C380"/>
    <mergeCell ref="B381:C381"/>
    <mergeCell ref="B382:C382"/>
    <mergeCell ref="B383:C383"/>
  </mergeCells>
  <phoneticPr fontId="20" type="noConversion"/>
  <pageMargins left="0.23622047244094491" right="0" top="0.31496062992125984" bottom="0" header="0" footer="0"/>
  <pageSetup paperSize="1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0.39997558519241921"/>
  </sheetPr>
  <dimension ref="A1:R264"/>
  <sheetViews>
    <sheetView topLeftCell="A193" zoomScale="80" zoomScaleNormal="80" workbookViewId="0">
      <selection activeCell="K229" sqref="K229:L229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75" style="145" customWidth="1"/>
    <col min="7" max="7" width="24.75" style="145" customWidth="1"/>
    <col min="8" max="8" width="12.625" style="145" customWidth="1"/>
    <col min="9" max="10" width="5.625" style="145" customWidth="1"/>
    <col min="11" max="11" width="3.75" style="145" customWidth="1"/>
    <col min="12" max="12" width="21.625" style="145" customWidth="1"/>
    <col min="13" max="13" width="12.625" style="145" customWidth="1"/>
    <col min="14" max="15" width="3.75" style="145" customWidth="1"/>
    <col min="16" max="16" width="24.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313" t="str">
        <f>ขร1!A1:I1</f>
        <v>โรงพยาบาลสามโคก  ประจำเดือน  พฤศจิกายน  2568</v>
      </c>
      <c r="B1" s="314"/>
      <c r="C1" s="314"/>
      <c r="D1" s="314"/>
      <c r="E1" s="314"/>
      <c r="F1" s="314"/>
      <c r="G1" s="314"/>
      <c r="H1" s="314"/>
      <c r="I1" s="315"/>
      <c r="J1" s="313" t="str">
        <f>รว!A23</f>
        <v>โรงพยาบาลสามโคก  ประจำเดือน  พฤศจิกายน  2568</v>
      </c>
      <c r="K1" s="314"/>
      <c r="L1" s="314"/>
      <c r="M1" s="314"/>
      <c r="N1" s="314"/>
      <c r="O1" s="314"/>
      <c r="P1" s="314"/>
      <c r="Q1" s="314"/>
      <c r="R1" s="315"/>
    </row>
    <row r="2" spans="1:18" ht="17.100000000000001" customHeight="1" x14ac:dyDescent="0.2">
      <c r="A2" s="308" t="s">
        <v>351</v>
      </c>
      <c r="B2" s="307"/>
      <c r="C2" s="307"/>
      <c r="D2" s="307"/>
      <c r="E2" s="307"/>
      <c r="F2" s="307"/>
      <c r="G2" s="307"/>
      <c r="H2" s="307"/>
      <c r="I2" s="309"/>
      <c r="J2" s="308" t="s">
        <v>483</v>
      </c>
      <c r="K2" s="307"/>
      <c r="L2" s="307"/>
      <c r="M2" s="307"/>
      <c r="N2" s="307"/>
      <c r="O2" s="307"/>
      <c r="P2" s="307"/>
      <c r="Q2" s="307"/>
      <c r="R2" s="309"/>
    </row>
    <row r="3" spans="1:18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  <c r="J3" s="149"/>
      <c r="K3" s="153"/>
      <c r="L3" s="150"/>
      <c r="M3" s="147"/>
      <c r="N3" s="147"/>
      <c r="O3" s="147"/>
      <c r="P3" s="150"/>
      <c r="Q3" s="150"/>
      <c r="R3" s="152"/>
    </row>
    <row r="4" spans="1:18" ht="17.100000000000001" customHeight="1" x14ac:dyDescent="0.2">
      <c r="A4" s="149"/>
      <c r="B4" s="307" t="s">
        <v>9</v>
      </c>
      <c r="C4" s="307"/>
      <c r="D4" s="307"/>
      <c r="E4" s="147"/>
      <c r="F4" s="147"/>
      <c r="G4" s="307" t="s">
        <v>10</v>
      </c>
      <c r="H4" s="307"/>
      <c r="I4" s="152"/>
      <c r="J4" s="149"/>
      <c r="K4" s="307" t="s">
        <v>9</v>
      </c>
      <c r="L4" s="307"/>
      <c r="M4" s="307"/>
      <c r="N4" s="147"/>
      <c r="O4" s="147"/>
      <c r="P4" s="147" t="s">
        <v>10</v>
      </c>
      <c r="Q4" s="147"/>
      <c r="R4" s="152"/>
    </row>
    <row r="5" spans="1:18" ht="17.100000000000001" customHeight="1" x14ac:dyDescent="0.2">
      <c r="A5" s="149"/>
      <c r="B5" s="306" t="s">
        <v>3</v>
      </c>
      <c r="C5" s="306"/>
      <c r="D5" s="154">
        <f>รายวัน!E8</f>
        <v>0</v>
      </c>
      <c r="E5" s="154"/>
      <c r="F5" s="155"/>
      <c r="G5" s="150" t="s">
        <v>99</v>
      </c>
      <c r="H5" s="154">
        <v>0</v>
      </c>
      <c r="I5" s="169"/>
      <c r="J5" s="149"/>
      <c r="K5" s="150" t="s">
        <v>3</v>
      </c>
      <c r="L5" s="150"/>
      <c r="M5" s="154">
        <f>รายวัน!E20</f>
        <v>0</v>
      </c>
      <c r="N5" s="154"/>
      <c r="O5" s="155"/>
      <c r="P5" s="150" t="s">
        <v>99</v>
      </c>
      <c r="Q5" s="154">
        <v>0</v>
      </c>
      <c r="R5" s="152"/>
    </row>
    <row r="6" spans="1:18" ht="17.100000000000001" customHeight="1" x14ac:dyDescent="0.2">
      <c r="A6" s="149"/>
      <c r="B6" s="306" t="s">
        <v>106</v>
      </c>
      <c r="C6" s="306"/>
      <c r="D6" s="154">
        <v>0</v>
      </c>
      <c r="E6" s="154"/>
      <c r="F6" s="155"/>
      <c r="G6" s="150" t="s">
        <v>116</v>
      </c>
      <c r="H6" s="154">
        <f>รายวัน!O8</f>
        <v>0</v>
      </c>
      <c r="I6" s="169"/>
      <c r="J6" s="149"/>
      <c r="K6" s="150" t="s">
        <v>106</v>
      </c>
      <c r="L6" s="150"/>
      <c r="M6" s="154">
        <v>0</v>
      </c>
      <c r="N6" s="154"/>
      <c r="O6" s="155"/>
      <c r="P6" s="150" t="s">
        <v>116</v>
      </c>
      <c r="Q6" s="154">
        <f>รายวัน!O20</f>
        <v>0</v>
      </c>
      <c r="R6" s="152"/>
    </row>
    <row r="7" spans="1:18" ht="17.100000000000001" customHeight="1" x14ac:dyDescent="0.2">
      <c r="A7" s="149"/>
      <c r="B7" s="306" t="s">
        <v>107</v>
      </c>
      <c r="C7" s="306"/>
      <c r="D7" s="154">
        <v>0</v>
      </c>
      <c r="E7" s="154"/>
      <c r="F7" s="155"/>
      <c r="G7" s="150" t="s">
        <v>54</v>
      </c>
      <c r="H7" s="154">
        <v>0</v>
      </c>
      <c r="I7" s="169"/>
      <c r="J7" s="149"/>
      <c r="K7" s="306" t="s">
        <v>140</v>
      </c>
      <c r="L7" s="306"/>
      <c r="M7" s="154">
        <v>0</v>
      </c>
      <c r="N7" s="154"/>
      <c r="O7" s="155"/>
      <c r="P7" s="150" t="s">
        <v>54</v>
      </c>
      <c r="Q7" s="154">
        <v>0</v>
      </c>
      <c r="R7" s="152"/>
    </row>
    <row r="8" spans="1:18" ht="17.100000000000001" customHeight="1" x14ac:dyDescent="0.2">
      <c r="A8" s="149"/>
      <c r="B8" s="306" t="s">
        <v>105</v>
      </c>
      <c r="C8" s="306"/>
      <c r="D8" s="154">
        <v>0</v>
      </c>
      <c r="E8" s="154"/>
      <c r="F8" s="155"/>
      <c r="G8" s="150" t="s">
        <v>100</v>
      </c>
      <c r="H8" s="154">
        <v>0</v>
      </c>
      <c r="I8" s="169"/>
      <c r="J8" s="149"/>
      <c r="K8" s="306" t="s">
        <v>105</v>
      </c>
      <c r="L8" s="306"/>
      <c r="M8" s="154">
        <f>รายวัน!H20</f>
        <v>0</v>
      </c>
      <c r="N8" s="154"/>
      <c r="O8" s="155"/>
      <c r="P8" s="150" t="s">
        <v>100</v>
      </c>
      <c r="Q8" s="154">
        <v>0</v>
      </c>
      <c r="R8" s="152"/>
    </row>
    <row r="9" spans="1:18" ht="17.100000000000001" customHeight="1" x14ac:dyDescent="0.2">
      <c r="A9" s="149"/>
      <c r="B9" s="306" t="s">
        <v>661</v>
      </c>
      <c r="C9" s="306"/>
      <c r="D9" s="154">
        <f>รายวัน!I8</f>
        <v>0</v>
      </c>
      <c r="E9" s="154"/>
      <c r="F9" s="155"/>
      <c r="G9" s="150" t="s">
        <v>55</v>
      </c>
      <c r="H9" s="156">
        <v>0</v>
      </c>
      <c r="I9" s="169"/>
      <c r="J9" s="149"/>
      <c r="K9" s="306" t="s">
        <v>661</v>
      </c>
      <c r="L9" s="306"/>
      <c r="M9" s="154">
        <f>รายวัน!I20</f>
        <v>0</v>
      </c>
      <c r="N9" s="154"/>
      <c r="O9" s="155"/>
      <c r="P9" s="150" t="s">
        <v>55</v>
      </c>
      <c r="Q9" s="156">
        <v>0</v>
      </c>
      <c r="R9" s="152"/>
    </row>
    <row r="10" spans="1:18" ht="17.100000000000001" customHeight="1" x14ac:dyDescent="0.2">
      <c r="A10" s="149"/>
      <c r="B10" s="306" t="s">
        <v>662</v>
      </c>
      <c r="C10" s="306"/>
      <c r="D10" s="154">
        <f>รายวัน!J8</f>
        <v>0</v>
      </c>
      <c r="E10" s="154"/>
      <c r="F10" s="155"/>
      <c r="G10" s="150" t="s">
        <v>56</v>
      </c>
      <c r="H10" s="156">
        <v>0</v>
      </c>
      <c r="I10" s="169"/>
      <c r="J10" s="149"/>
      <c r="K10" s="306" t="s">
        <v>662</v>
      </c>
      <c r="L10" s="306"/>
      <c r="M10" s="154">
        <f>รายวัน!J20</f>
        <v>0</v>
      </c>
      <c r="N10" s="154"/>
      <c r="O10" s="155"/>
      <c r="P10" s="153" t="s">
        <v>137</v>
      </c>
      <c r="Q10" s="156">
        <v>0</v>
      </c>
      <c r="R10" s="152"/>
    </row>
    <row r="11" spans="1:18" ht="17.100000000000001" customHeight="1" x14ac:dyDescent="0.2">
      <c r="A11" s="149"/>
      <c r="B11" s="306" t="s">
        <v>5</v>
      </c>
      <c r="C11" s="306"/>
      <c r="D11" s="154">
        <f>รายวัน!K8</f>
        <v>0</v>
      </c>
      <c r="E11" s="154"/>
      <c r="F11" s="155"/>
      <c r="G11" s="150" t="s">
        <v>57</v>
      </c>
      <c r="H11" s="156">
        <v>0</v>
      </c>
      <c r="I11" s="169"/>
      <c r="J11" s="149"/>
      <c r="K11" s="306" t="s">
        <v>5</v>
      </c>
      <c r="L11" s="306"/>
      <c r="M11" s="154">
        <f>รายวัน!K20</f>
        <v>0</v>
      </c>
      <c r="N11" s="154"/>
      <c r="O11" s="155"/>
      <c r="P11" s="150" t="s">
        <v>56</v>
      </c>
      <c r="Q11" s="156">
        <v>0</v>
      </c>
      <c r="R11" s="152"/>
    </row>
    <row r="12" spans="1:18" ht="17.100000000000001" customHeight="1" x14ac:dyDescent="0.2">
      <c r="A12" s="149"/>
      <c r="B12" s="306" t="s">
        <v>6</v>
      </c>
      <c r="C12" s="306"/>
      <c r="D12" s="154">
        <v>0</v>
      </c>
      <c r="E12" s="154"/>
      <c r="F12" s="155"/>
      <c r="G12" s="150"/>
      <c r="H12" s="154"/>
      <c r="I12" s="169"/>
      <c r="J12" s="149"/>
      <c r="K12" s="150" t="s">
        <v>6</v>
      </c>
      <c r="L12" s="150"/>
      <c r="M12" s="154">
        <v>0</v>
      </c>
      <c r="N12" s="154"/>
      <c r="O12" s="155"/>
      <c r="P12" s="150" t="s">
        <v>57</v>
      </c>
      <c r="Q12" s="156">
        <v>0</v>
      </c>
      <c r="R12" s="152"/>
    </row>
    <row r="13" spans="1:18" ht="17.100000000000001" customHeight="1" x14ac:dyDescent="0.2">
      <c r="A13" s="149"/>
      <c r="B13" s="306" t="s">
        <v>7</v>
      </c>
      <c r="C13" s="306"/>
      <c r="D13" s="154">
        <v>0</v>
      </c>
      <c r="E13" s="154"/>
      <c r="F13" s="155"/>
      <c r="G13" s="150"/>
      <c r="H13" s="154"/>
      <c r="I13" s="169"/>
      <c r="J13" s="149"/>
      <c r="K13" s="150" t="s">
        <v>7</v>
      </c>
      <c r="L13" s="150"/>
      <c r="M13" s="154">
        <v>0</v>
      </c>
      <c r="N13" s="154"/>
      <c r="O13" s="155"/>
      <c r="P13" s="150"/>
      <c r="Q13" s="154"/>
      <c r="R13" s="152"/>
    </row>
    <row r="14" spans="1:18" ht="17.100000000000001" customHeight="1" x14ac:dyDescent="0.2">
      <c r="A14" s="149"/>
      <c r="B14" s="307" t="s">
        <v>117</v>
      </c>
      <c r="C14" s="307"/>
      <c r="D14" s="157">
        <f>SUM(D5:D13)</f>
        <v>0</v>
      </c>
      <c r="E14" s="157"/>
      <c r="F14" s="157"/>
      <c r="G14" s="147" t="s">
        <v>118</v>
      </c>
      <c r="H14" s="157">
        <f>SUM(H5:H13)</f>
        <v>0</v>
      </c>
      <c r="I14" s="169"/>
      <c r="J14" s="149"/>
      <c r="K14" s="307" t="s">
        <v>101</v>
      </c>
      <c r="L14" s="307"/>
      <c r="M14" s="154">
        <f>SUM(M5:M13)</f>
        <v>0</v>
      </c>
      <c r="N14" s="154"/>
      <c r="O14" s="157"/>
      <c r="P14" s="147" t="s">
        <v>102</v>
      </c>
      <c r="Q14" s="157">
        <f>SUM(Q5:Q13)</f>
        <v>0</v>
      </c>
      <c r="R14" s="152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  <c r="J15" s="149"/>
      <c r="K15" s="150"/>
      <c r="L15" s="147" t="s">
        <v>103</v>
      </c>
      <c r="M15" s="157">
        <f>M14-Q14</f>
        <v>0</v>
      </c>
      <c r="N15" s="157"/>
      <c r="O15" s="158" t="s">
        <v>104</v>
      </c>
      <c r="Q15" s="150"/>
      <c r="R15" s="152"/>
    </row>
    <row r="16" spans="1:18" ht="17.100000000000001" customHeight="1" x14ac:dyDescent="0.2">
      <c r="A16" s="149"/>
      <c r="B16" s="150"/>
      <c r="C16" s="307" t="str">
        <f>"("&amp;BAHTTEXT(D15)&amp;")"</f>
        <v>(ศูนย์บาทถ้วน)</v>
      </c>
      <c r="D16" s="307"/>
      <c r="E16" s="307"/>
      <c r="F16" s="307"/>
      <c r="G16" s="307"/>
      <c r="H16" s="150"/>
      <c r="I16" s="152"/>
      <c r="J16" s="149"/>
      <c r="L16" s="307" t="str">
        <f>"("&amp;BAHTTEXT(M15)&amp;")"</f>
        <v>(ศูนย์บาทถ้วน)</v>
      </c>
      <c r="M16" s="307"/>
      <c r="N16" s="307"/>
      <c r="O16" s="307"/>
      <c r="P16" s="307"/>
      <c r="R16" s="152"/>
    </row>
    <row r="17" spans="1:18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  <c r="J17" s="149"/>
      <c r="L17" s="147"/>
      <c r="M17" s="147"/>
      <c r="N17" s="147"/>
      <c r="O17" s="147"/>
      <c r="P17" s="147"/>
      <c r="R17" s="152"/>
    </row>
    <row r="18" spans="1:18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  <c r="J18" s="149"/>
      <c r="L18" s="147"/>
      <c r="M18" s="147"/>
      <c r="N18" s="147"/>
      <c r="O18" s="147"/>
      <c r="P18" s="147"/>
      <c r="R18" s="152"/>
    </row>
    <row r="19" spans="1:18" ht="17.100000000000001" customHeight="1" x14ac:dyDescent="0.2">
      <c r="A19" s="149"/>
      <c r="B19" s="150"/>
      <c r="C19" s="147"/>
      <c r="D19" s="147"/>
      <c r="E19" s="147"/>
      <c r="F19" s="147"/>
      <c r="G19" s="147"/>
      <c r="H19" s="150"/>
      <c r="I19" s="152"/>
      <c r="J19" s="149"/>
      <c r="R19" s="152"/>
    </row>
    <row r="20" spans="1:18" ht="17.100000000000001" customHeight="1" x14ac:dyDescent="0.2">
      <c r="A20" s="149"/>
      <c r="B20" s="150"/>
      <c r="C20" s="150"/>
      <c r="D20" s="150"/>
      <c r="E20" s="150"/>
      <c r="F20" s="150"/>
      <c r="G20" s="150"/>
      <c r="H20" s="150"/>
      <c r="I20" s="152"/>
      <c r="J20" s="149"/>
      <c r="R20" s="152"/>
    </row>
    <row r="21" spans="1:18" ht="17.100000000000001" customHeight="1" x14ac:dyDescent="0.2">
      <c r="A21" s="308" t="s">
        <v>315</v>
      </c>
      <c r="B21" s="307"/>
      <c r="C21" s="307"/>
      <c r="D21" s="307"/>
      <c r="E21" s="307"/>
      <c r="F21" s="307"/>
      <c r="G21" s="307"/>
      <c r="H21" s="307"/>
      <c r="I21" s="309"/>
      <c r="J21" s="308" t="s">
        <v>315</v>
      </c>
      <c r="K21" s="307"/>
      <c r="L21" s="307"/>
      <c r="M21" s="307"/>
      <c r="N21" s="307"/>
      <c r="O21" s="307"/>
      <c r="P21" s="307"/>
      <c r="Q21" s="307"/>
      <c r="R21" s="309"/>
    </row>
    <row r="22" spans="1:18" ht="17.100000000000001" customHeight="1" x14ac:dyDescent="0.2">
      <c r="A22" s="310" t="s">
        <v>298</v>
      </c>
      <c r="B22" s="311"/>
      <c r="C22" s="311"/>
      <c r="D22" s="311"/>
      <c r="E22" s="311"/>
      <c r="F22" s="311"/>
      <c r="G22" s="311"/>
      <c r="H22" s="311"/>
      <c r="I22" s="312"/>
      <c r="J22" s="310" t="s">
        <v>298</v>
      </c>
      <c r="K22" s="311"/>
      <c r="L22" s="311"/>
      <c r="M22" s="311"/>
      <c r="N22" s="311"/>
      <c r="O22" s="311"/>
      <c r="P22" s="311"/>
      <c r="Q22" s="311"/>
      <c r="R22" s="312"/>
    </row>
    <row r="23" spans="1:18" ht="17.100000000000001" customHeight="1" x14ac:dyDescent="0.2">
      <c r="A23" s="313" t="str">
        <f>A1</f>
        <v>โรงพยาบาลสามโคก  ประจำเดือน  พฤศจิกายน  2568</v>
      </c>
      <c r="B23" s="314"/>
      <c r="C23" s="314"/>
      <c r="D23" s="314"/>
      <c r="E23" s="314"/>
      <c r="F23" s="314"/>
      <c r="G23" s="314"/>
      <c r="H23" s="314"/>
      <c r="I23" s="315"/>
      <c r="J23" s="313" t="str">
        <f>A67</f>
        <v>โรงพยาบาลสามโคก  ประจำเดือน  พฤศจิกายน  2568</v>
      </c>
      <c r="K23" s="314"/>
      <c r="L23" s="314"/>
      <c r="M23" s="314"/>
      <c r="N23" s="314"/>
      <c r="O23" s="314"/>
      <c r="P23" s="314"/>
      <c r="Q23" s="314"/>
      <c r="R23" s="315"/>
    </row>
    <row r="24" spans="1:18" ht="17.100000000000001" customHeight="1" x14ac:dyDescent="0.2">
      <c r="A24" s="308" t="s">
        <v>407</v>
      </c>
      <c r="B24" s="307"/>
      <c r="C24" s="307"/>
      <c r="D24" s="307"/>
      <c r="E24" s="307"/>
      <c r="F24" s="307"/>
      <c r="G24" s="307"/>
      <c r="H24" s="307"/>
      <c r="I24" s="309"/>
      <c r="J24" s="308" t="s">
        <v>414</v>
      </c>
      <c r="K24" s="307"/>
      <c r="L24" s="307"/>
      <c r="M24" s="307"/>
      <c r="N24" s="307"/>
      <c r="O24" s="307"/>
      <c r="P24" s="307"/>
      <c r="Q24" s="307"/>
      <c r="R24" s="309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307" t="s">
        <v>9</v>
      </c>
      <c r="C26" s="307"/>
      <c r="D26" s="307"/>
      <c r="E26" s="147"/>
      <c r="F26" s="147"/>
      <c r="G26" s="147" t="s">
        <v>10</v>
      </c>
      <c r="H26" s="147"/>
      <c r="I26" s="152"/>
      <c r="J26" s="149"/>
      <c r="K26" s="307" t="s">
        <v>9</v>
      </c>
      <c r="L26" s="307"/>
      <c r="M26" s="307"/>
      <c r="N26" s="147"/>
      <c r="O26" s="147"/>
      <c r="P26" s="147" t="s">
        <v>10</v>
      </c>
      <c r="Q26" s="147"/>
      <c r="R26" s="152"/>
    </row>
    <row r="27" spans="1:18" ht="17.100000000000001" customHeight="1" x14ac:dyDescent="0.2">
      <c r="A27" s="149"/>
      <c r="B27" s="150" t="s">
        <v>3</v>
      </c>
      <c r="C27" s="150"/>
      <c r="D27" s="154">
        <f>รายวัน!E9</f>
        <v>0</v>
      </c>
      <c r="E27" s="154"/>
      <c r="F27" s="155"/>
      <c r="G27" s="150" t="s">
        <v>99</v>
      </c>
      <c r="H27" s="154">
        <f>ข้าราชการ!E401</f>
        <v>0</v>
      </c>
      <c r="I27" s="152"/>
      <c r="J27" s="149"/>
      <c r="K27" s="150" t="s">
        <v>3</v>
      </c>
      <c r="L27" s="150"/>
      <c r="M27" s="154">
        <f>รายวัน!E21</f>
        <v>0</v>
      </c>
      <c r="N27" s="154"/>
      <c r="O27" s="155"/>
      <c r="P27" s="150" t="s">
        <v>99</v>
      </c>
      <c r="Q27" s="154">
        <v>0</v>
      </c>
      <c r="R27" s="152"/>
    </row>
    <row r="28" spans="1:18" ht="17.100000000000001" customHeight="1" x14ac:dyDescent="0.2">
      <c r="A28" s="149"/>
      <c r="B28" s="150" t="s">
        <v>106</v>
      </c>
      <c r="C28" s="150"/>
      <c r="D28" s="154">
        <v>0</v>
      </c>
      <c r="E28" s="154"/>
      <c r="F28" s="155"/>
      <c r="G28" s="150" t="s">
        <v>116</v>
      </c>
      <c r="H28" s="154">
        <f>รายวัน!O9</f>
        <v>0</v>
      </c>
      <c r="I28" s="152"/>
      <c r="J28" s="149"/>
      <c r="K28" s="150" t="s">
        <v>106</v>
      </c>
      <c r="L28" s="150"/>
      <c r="M28" s="154">
        <v>0</v>
      </c>
      <c r="N28" s="154"/>
      <c r="O28" s="155"/>
      <c r="P28" s="150" t="s">
        <v>116</v>
      </c>
      <c r="Q28" s="154">
        <f>รายวัน!O21</f>
        <v>0</v>
      </c>
      <c r="R28" s="152"/>
    </row>
    <row r="29" spans="1:18" ht="17.100000000000001" customHeight="1" x14ac:dyDescent="0.2">
      <c r="A29" s="149"/>
      <c r="B29" s="306" t="s">
        <v>140</v>
      </c>
      <c r="C29" s="306"/>
      <c r="D29" s="154">
        <v>0</v>
      </c>
      <c r="E29" s="154"/>
      <c r="F29" s="155"/>
      <c r="G29" s="150" t="s">
        <v>54</v>
      </c>
      <c r="H29" s="154">
        <v>0</v>
      </c>
      <c r="I29" s="152"/>
      <c r="J29" s="149"/>
      <c r="K29" s="306" t="s">
        <v>140</v>
      </c>
      <c r="L29" s="306"/>
      <c r="M29" s="154">
        <v>0</v>
      </c>
      <c r="N29" s="154"/>
      <c r="O29" s="155"/>
      <c r="P29" s="150" t="s">
        <v>54</v>
      </c>
      <c r="Q29" s="154">
        <v>0</v>
      </c>
      <c r="R29" s="152"/>
    </row>
    <row r="30" spans="1:18" ht="17.100000000000001" customHeight="1" x14ac:dyDescent="0.2">
      <c r="A30" s="149"/>
      <c r="B30" s="306" t="s">
        <v>130</v>
      </c>
      <c r="C30" s="306"/>
      <c r="D30" s="154">
        <v>0</v>
      </c>
      <c r="E30" s="154"/>
      <c r="F30" s="155"/>
      <c r="G30" s="150" t="s">
        <v>100</v>
      </c>
      <c r="H30" s="154">
        <v>0</v>
      </c>
      <c r="I30" s="152"/>
      <c r="J30" s="149"/>
      <c r="K30" s="306" t="s">
        <v>130</v>
      </c>
      <c r="L30" s="306"/>
      <c r="M30" s="154">
        <f>รายวัน!H21</f>
        <v>0</v>
      </c>
      <c r="N30" s="154"/>
      <c r="O30" s="155"/>
      <c r="P30" s="150" t="s">
        <v>100</v>
      </c>
      <c r="Q30" s="154">
        <v>0</v>
      </c>
      <c r="R30" s="152"/>
    </row>
    <row r="31" spans="1:18" ht="17.100000000000001" customHeight="1" x14ac:dyDescent="0.2">
      <c r="A31" s="149"/>
      <c r="B31" s="306" t="s">
        <v>661</v>
      </c>
      <c r="C31" s="306"/>
      <c r="D31" s="154">
        <f>รายวัน!I9</f>
        <v>0</v>
      </c>
      <c r="E31" s="154"/>
      <c r="F31" s="155"/>
      <c r="G31" s="150" t="s">
        <v>55</v>
      </c>
      <c r="H31" s="156">
        <v>0</v>
      </c>
      <c r="I31" s="152"/>
      <c r="J31" s="149"/>
      <c r="K31" s="306" t="s">
        <v>291</v>
      </c>
      <c r="L31" s="306"/>
      <c r="M31" s="154">
        <f>รายวัน!I21</f>
        <v>0</v>
      </c>
      <c r="N31" s="154"/>
      <c r="O31" s="155"/>
      <c r="P31" s="150" t="s">
        <v>55</v>
      </c>
      <c r="Q31" s="156">
        <v>0</v>
      </c>
      <c r="R31" s="152"/>
    </row>
    <row r="32" spans="1:18" ht="17.100000000000001" customHeight="1" x14ac:dyDescent="0.2">
      <c r="A32" s="149"/>
      <c r="B32" s="306" t="s">
        <v>662</v>
      </c>
      <c r="C32" s="306"/>
      <c r="D32" s="154">
        <f>รายวัน!J9</f>
        <v>0</v>
      </c>
      <c r="E32" s="154"/>
      <c r="F32" s="155"/>
      <c r="G32" s="153" t="s">
        <v>137</v>
      </c>
      <c r="H32" s="156">
        <f>ข้าราชการ!J401</f>
        <v>0</v>
      </c>
      <c r="I32" s="152"/>
      <c r="J32" s="149"/>
      <c r="K32" s="306" t="s">
        <v>662</v>
      </c>
      <c r="L32" s="306"/>
      <c r="M32" s="154">
        <f>รายวัน!J21</f>
        <v>0</v>
      </c>
      <c r="N32" s="154"/>
      <c r="O32" s="155"/>
      <c r="P32" s="153" t="s">
        <v>137</v>
      </c>
      <c r="Q32" s="156">
        <v>0</v>
      </c>
      <c r="R32" s="152"/>
    </row>
    <row r="33" spans="1:18" ht="17.100000000000001" customHeight="1" x14ac:dyDescent="0.2">
      <c r="A33" s="149"/>
      <c r="B33" s="306" t="s">
        <v>5</v>
      </c>
      <c r="C33" s="306"/>
      <c r="D33" s="154">
        <f>รายวัน!K9</f>
        <v>0</v>
      </c>
      <c r="E33" s="154"/>
      <c r="F33" s="155"/>
      <c r="G33" s="150" t="s">
        <v>56</v>
      </c>
      <c r="H33" s="156">
        <f>รายวัน!T9</f>
        <v>0</v>
      </c>
      <c r="I33" s="152"/>
      <c r="J33" s="149"/>
      <c r="K33" s="306" t="s">
        <v>5</v>
      </c>
      <c r="L33" s="306"/>
      <c r="M33" s="154">
        <f>รายวัน!K21</f>
        <v>0</v>
      </c>
      <c r="N33" s="154"/>
      <c r="O33" s="155"/>
      <c r="P33" s="150" t="s">
        <v>56</v>
      </c>
      <c r="Q33" s="156">
        <v>0</v>
      </c>
      <c r="R33" s="152"/>
    </row>
    <row r="34" spans="1:18" ht="17.100000000000001" customHeight="1" x14ac:dyDescent="0.2">
      <c r="A34" s="149"/>
      <c r="B34" s="150" t="s">
        <v>6</v>
      </c>
      <c r="C34" s="150"/>
      <c r="D34" s="154">
        <f>ข้าราชการ!C401</f>
        <v>0</v>
      </c>
      <c r="E34" s="154"/>
      <c r="F34" s="155"/>
      <c r="G34" s="150" t="s">
        <v>57</v>
      </c>
      <c r="H34" s="156">
        <f>รายวัน!U9</f>
        <v>0</v>
      </c>
      <c r="I34" s="152"/>
      <c r="J34" s="149"/>
      <c r="K34" s="150" t="s">
        <v>6</v>
      </c>
      <c r="L34" s="150"/>
      <c r="M34" s="154">
        <v>0</v>
      </c>
      <c r="N34" s="154"/>
      <c r="O34" s="155"/>
      <c r="P34" s="150" t="s">
        <v>57</v>
      </c>
      <c r="Q34" s="156">
        <v>0</v>
      </c>
      <c r="R34" s="152"/>
    </row>
    <row r="35" spans="1:18" ht="17.100000000000001" customHeight="1" x14ac:dyDescent="0.2">
      <c r="A35" s="149"/>
      <c r="B35" s="150" t="s">
        <v>7</v>
      </c>
      <c r="C35" s="150"/>
      <c r="D35" s="154">
        <v>0</v>
      </c>
      <c r="E35" s="154"/>
      <c r="F35" s="155"/>
      <c r="G35" s="150"/>
      <c r="H35" s="154"/>
      <c r="I35" s="152"/>
      <c r="J35" s="149"/>
      <c r="K35" s="150" t="s">
        <v>7</v>
      </c>
      <c r="L35" s="150"/>
      <c r="M35" s="154">
        <v>0</v>
      </c>
      <c r="N35" s="154"/>
      <c r="O35" s="155"/>
      <c r="P35" s="150"/>
      <c r="Q35" s="154"/>
      <c r="R35" s="152"/>
    </row>
    <row r="36" spans="1:18" ht="17.100000000000001" customHeight="1" x14ac:dyDescent="0.2">
      <c r="A36" s="149"/>
      <c r="B36" s="307" t="s">
        <v>101</v>
      </c>
      <c r="C36" s="307"/>
      <c r="D36" s="154">
        <f>SUM(D27:D35)</f>
        <v>0</v>
      </c>
      <c r="E36" s="154"/>
      <c r="F36" s="157"/>
      <c r="G36" s="147" t="s">
        <v>102</v>
      </c>
      <c r="H36" s="157">
        <f>SUM(H27:H35)</f>
        <v>0</v>
      </c>
      <c r="I36" s="152"/>
      <c r="J36" s="149"/>
      <c r="K36" s="307" t="s">
        <v>101</v>
      </c>
      <c r="L36" s="307"/>
      <c r="M36" s="154">
        <f>SUM(M27:M35)</f>
        <v>0</v>
      </c>
      <c r="N36" s="154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C38" s="307" t="str">
        <f>"("&amp;BAHTTEXT(D37)&amp;")"</f>
        <v>(ศูนย์บาทถ้วน)</v>
      </c>
      <c r="D38" s="307"/>
      <c r="E38" s="307"/>
      <c r="F38" s="307"/>
      <c r="G38" s="307"/>
      <c r="I38" s="152"/>
      <c r="J38" s="149"/>
      <c r="L38" s="307" t="str">
        <f>"("&amp;BAHTTEXT(M37)&amp;")"</f>
        <v>(ศูนย์บาทถ้วน)</v>
      </c>
      <c r="M38" s="307"/>
      <c r="N38" s="307"/>
      <c r="O38" s="307"/>
      <c r="P38" s="307"/>
      <c r="R38" s="152"/>
    </row>
    <row r="39" spans="1:18" ht="17.100000000000001" customHeight="1" x14ac:dyDescent="0.2">
      <c r="A39" s="149"/>
      <c r="C39" s="147"/>
      <c r="D39" s="147"/>
      <c r="E39" s="147"/>
      <c r="F39" s="147"/>
      <c r="G39" s="147"/>
      <c r="I39" s="152"/>
      <c r="J39" s="149"/>
      <c r="L39" s="147"/>
      <c r="M39" s="147"/>
      <c r="N39" s="147"/>
      <c r="O39" s="147"/>
      <c r="P39" s="147"/>
      <c r="R39" s="152"/>
    </row>
    <row r="40" spans="1:18" ht="17.100000000000001" customHeight="1" x14ac:dyDescent="0.2">
      <c r="A40" s="149"/>
      <c r="C40" s="147"/>
      <c r="D40" s="147"/>
      <c r="E40" s="147"/>
      <c r="F40" s="147"/>
      <c r="G40" s="147"/>
      <c r="I40" s="152"/>
      <c r="J40" s="149"/>
      <c r="L40" s="147"/>
      <c r="M40" s="147"/>
      <c r="N40" s="147"/>
      <c r="O40" s="147"/>
      <c r="P40" s="147"/>
      <c r="R40" s="152"/>
    </row>
    <row r="41" spans="1:18" ht="17.100000000000001" customHeight="1" x14ac:dyDescent="0.2">
      <c r="A41" s="149"/>
      <c r="I41" s="152"/>
      <c r="J41" s="149"/>
      <c r="R41" s="152"/>
    </row>
    <row r="42" spans="1:18" ht="17.100000000000001" customHeight="1" x14ac:dyDescent="0.2">
      <c r="A42" s="149"/>
      <c r="I42" s="152"/>
      <c r="J42" s="149"/>
      <c r="R42" s="152"/>
    </row>
    <row r="43" spans="1:18" ht="17.100000000000001" customHeight="1" x14ac:dyDescent="0.2">
      <c r="A43" s="308" t="s">
        <v>315</v>
      </c>
      <c r="B43" s="307"/>
      <c r="C43" s="307"/>
      <c r="D43" s="307"/>
      <c r="E43" s="307"/>
      <c r="F43" s="307"/>
      <c r="G43" s="307"/>
      <c r="H43" s="307"/>
      <c r="I43" s="309"/>
      <c r="J43" s="308" t="s">
        <v>315</v>
      </c>
      <c r="K43" s="307"/>
      <c r="L43" s="307"/>
      <c r="M43" s="307"/>
      <c r="N43" s="307"/>
      <c r="O43" s="307"/>
      <c r="P43" s="307"/>
      <c r="Q43" s="307"/>
      <c r="R43" s="309"/>
    </row>
    <row r="44" spans="1:18" ht="17.100000000000001" customHeight="1" x14ac:dyDescent="0.2">
      <c r="A44" s="310" t="s">
        <v>298</v>
      </c>
      <c r="B44" s="311"/>
      <c r="C44" s="311"/>
      <c r="D44" s="311"/>
      <c r="E44" s="311"/>
      <c r="F44" s="311"/>
      <c r="G44" s="311"/>
      <c r="H44" s="311"/>
      <c r="I44" s="312"/>
      <c r="J44" s="310" t="s">
        <v>298</v>
      </c>
      <c r="K44" s="311"/>
      <c r="L44" s="311"/>
      <c r="M44" s="311"/>
      <c r="N44" s="311"/>
      <c r="O44" s="311"/>
      <c r="P44" s="311"/>
      <c r="Q44" s="311"/>
      <c r="R44" s="312"/>
    </row>
    <row r="45" spans="1:18" ht="17.100000000000001" customHeight="1" x14ac:dyDescent="0.2">
      <c r="A45" s="313" t="str">
        <f>A1</f>
        <v>โรงพยาบาลสามโคก  ประจำเดือน  พฤศจิกายน  2568</v>
      </c>
      <c r="B45" s="314"/>
      <c r="C45" s="314"/>
      <c r="D45" s="314"/>
      <c r="E45" s="314"/>
      <c r="F45" s="314"/>
      <c r="G45" s="314"/>
      <c r="H45" s="314"/>
      <c r="I45" s="315"/>
      <c r="J45" s="313" t="str">
        <f>A1</f>
        <v>โรงพยาบาลสามโคก  ประจำเดือน  พฤศจิกายน  2568</v>
      </c>
      <c r="K45" s="314"/>
      <c r="L45" s="314"/>
      <c r="M45" s="314"/>
      <c r="N45" s="314"/>
      <c r="O45" s="314"/>
      <c r="P45" s="314"/>
      <c r="Q45" s="314"/>
      <c r="R45" s="315"/>
    </row>
    <row r="46" spans="1:18" ht="17.100000000000001" customHeight="1" x14ac:dyDescent="0.2">
      <c r="A46" s="308" t="s">
        <v>343</v>
      </c>
      <c r="B46" s="307"/>
      <c r="C46" s="307"/>
      <c r="D46" s="307"/>
      <c r="E46" s="307"/>
      <c r="F46" s="307"/>
      <c r="G46" s="307"/>
      <c r="H46" s="307"/>
      <c r="I46" s="309"/>
      <c r="J46" s="308" t="s">
        <v>422</v>
      </c>
      <c r="K46" s="307"/>
      <c r="L46" s="307"/>
      <c r="M46" s="307"/>
      <c r="N46" s="307"/>
      <c r="O46" s="307"/>
      <c r="P46" s="307"/>
      <c r="Q46" s="307"/>
      <c r="R46" s="309"/>
    </row>
    <row r="47" spans="1:18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  <c r="J47" s="149"/>
      <c r="K47" s="153"/>
      <c r="L47" s="150"/>
      <c r="M47" s="147"/>
      <c r="N47" s="147"/>
      <c r="O47" s="147"/>
      <c r="P47" s="150"/>
      <c r="Q47" s="150"/>
      <c r="R47" s="152"/>
    </row>
    <row r="48" spans="1:18" ht="17.100000000000001" customHeight="1" x14ac:dyDescent="0.2">
      <c r="A48" s="149"/>
      <c r="B48" s="307" t="s">
        <v>9</v>
      </c>
      <c r="C48" s="307"/>
      <c r="D48" s="307"/>
      <c r="E48" s="147"/>
      <c r="F48" s="147"/>
      <c r="G48" s="147" t="s">
        <v>10</v>
      </c>
      <c r="H48" s="147"/>
      <c r="I48" s="152"/>
      <c r="J48" s="149"/>
      <c r="K48" s="307" t="s">
        <v>9</v>
      </c>
      <c r="L48" s="307"/>
      <c r="M48" s="307"/>
      <c r="N48" s="147"/>
      <c r="O48" s="147"/>
      <c r="P48" s="147" t="s">
        <v>10</v>
      </c>
      <c r="Q48" s="147"/>
      <c r="R48" s="152"/>
    </row>
    <row r="49" spans="1:18" ht="17.100000000000001" customHeight="1" x14ac:dyDescent="0.2">
      <c r="A49" s="149"/>
      <c r="B49" s="150" t="s">
        <v>3</v>
      </c>
      <c r="C49" s="150"/>
      <c r="D49" s="154">
        <f>รายวัน!E10</f>
        <v>7</v>
      </c>
      <c r="E49" s="154"/>
      <c r="F49" s="155"/>
      <c r="G49" s="150" t="s">
        <v>99</v>
      </c>
      <c r="H49" s="154">
        <f>ข้าราชการ!W78</f>
        <v>0</v>
      </c>
      <c r="I49" s="152"/>
      <c r="J49" s="149"/>
      <c r="K49" s="150" t="s">
        <v>3</v>
      </c>
      <c r="L49" s="150"/>
      <c r="M49" s="154">
        <f>รายวัน!E22</f>
        <v>0</v>
      </c>
      <c r="N49" s="154"/>
      <c r="O49" s="155"/>
      <c r="P49" s="150" t="s">
        <v>99</v>
      </c>
      <c r="Q49" s="154">
        <v>0</v>
      </c>
      <c r="R49" s="152"/>
    </row>
    <row r="50" spans="1:18" ht="17.100000000000001" customHeight="1" x14ac:dyDescent="0.2">
      <c r="A50" s="149"/>
      <c r="B50" s="150" t="s">
        <v>106</v>
      </c>
      <c r="C50" s="150"/>
      <c r="D50" s="154">
        <v>0</v>
      </c>
      <c r="E50" s="154"/>
      <c r="F50" s="155"/>
      <c r="G50" s="150" t="s">
        <v>116</v>
      </c>
      <c r="H50" s="154">
        <f>รายวัน!O10</f>
        <v>0</v>
      </c>
      <c r="I50" s="152"/>
      <c r="J50" s="149"/>
      <c r="K50" s="150" t="s">
        <v>106</v>
      </c>
      <c r="L50" s="150"/>
      <c r="M50" s="154">
        <v>0</v>
      </c>
      <c r="N50" s="154"/>
      <c r="O50" s="155"/>
      <c r="P50" s="150" t="s">
        <v>116</v>
      </c>
      <c r="Q50" s="154">
        <f>รายวัน!O22</f>
        <v>0</v>
      </c>
      <c r="R50" s="152"/>
    </row>
    <row r="51" spans="1:18" ht="17.100000000000001" customHeight="1" x14ac:dyDescent="0.2">
      <c r="A51" s="149"/>
      <c r="B51" s="306" t="s">
        <v>140</v>
      </c>
      <c r="C51" s="306"/>
      <c r="D51" s="154">
        <v>0</v>
      </c>
      <c r="E51" s="154"/>
      <c r="F51" s="155"/>
      <c r="G51" s="150" t="s">
        <v>54</v>
      </c>
      <c r="H51" s="154">
        <v>0</v>
      </c>
      <c r="I51" s="152"/>
      <c r="J51" s="149"/>
      <c r="K51" s="306" t="s">
        <v>140</v>
      </c>
      <c r="L51" s="306"/>
      <c r="M51" s="154">
        <v>0</v>
      </c>
      <c r="N51" s="154"/>
      <c r="O51" s="155"/>
      <c r="P51" s="150" t="s">
        <v>54</v>
      </c>
      <c r="Q51" s="154">
        <v>0</v>
      </c>
      <c r="R51" s="152"/>
    </row>
    <row r="52" spans="1:18" ht="17.100000000000001" customHeight="1" x14ac:dyDescent="0.2">
      <c r="A52" s="149"/>
      <c r="B52" s="306" t="s">
        <v>130</v>
      </c>
      <c r="C52" s="306"/>
      <c r="D52" s="154">
        <v>0</v>
      </c>
      <c r="E52" s="154"/>
      <c r="F52" s="155"/>
      <c r="G52" s="150" t="s">
        <v>100</v>
      </c>
      <c r="H52" s="154">
        <v>0</v>
      </c>
      <c r="I52" s="152"/>
      <c r="J52" s="149"/>
      <c r="K52" s="306" t="s">
        <v>130</v>
      </c>
      <c r="L52" s="306"/>
      <c r="M52" s="154">
        <f>รายวัน!H22</f>
        <v>0</v>
      </c>
      <c r="N52" s="154"/>
      <c r="O52" s="155"/>
      <c r="P52" s="150" t="s">
        <v>100</v>
      </c>
      <c r="Q52" s="154">
        <v>0</v>
      </c>
      <c r="R52" s="152"/>
    </row>
    <row r="53" spans="1:18" ht="17.100000000000001" customHeight="1" x14ac:dyDescent="0.2">
      <c r="A53" s="149"/>
      <c r="B53" s="306" t="s">
        <v>661</v>
      </c>
      <c r="C53" s="306"/>
      <c r="D53" s="154">
        <f>รายวัน!I10</f>
        <v>0</v>
      </c>
      <c r="E53" s="154"/>
      <c r="F53" s="155"/>
      <c r="G53" s="153" t="s">
        <v>377</v>
      </c>
      <c r="H53" s="156">
        <f>รายวัน!S10</f>
        <v>0</v>
      </c>
      <c r="I53" s="152"/>
      <c r="J53" s="149"/>
      <c r="K53" s="306" t="s">
        <v>661</v>
      </c>
      <c r="L53" s="306"/>
      <c r="M53" s="154">
        <f>รายวัน!I22</f>
        <v>0</v>
      </c>
      <c r="N53" s="154"/>
      <c r="O53" s="155"/>
      <c r="P53" s="153" t="s">
        <v>377</v>
      </c>
      <c r="Q53" s="156">
        <f>รายวัน!S22</f>
        <v>0</v>
      </c>
      <c r="R53" s="152"/>
    </row>
    <row r="54" spans="1:18" ht="17.100000000000001" customHeight="1" x14ac:dyDescent="0.2">
      <c r="A54" s="149"/>
      <c r="B54" s="306" t="s">
        <v>662</v>
      </c>
      <c r="C54" s="306"/>
      <c r="D54" s="154">
        <f>รายวัน!J10</f>
        <v>0</v>
      </c>
      <c r="E54" s="154"/>
      <c r="F54" s="155"/>
      <c r="G54" s="153" t="s">
        <v>137</v>
      </c>
      <c r="H54" s="156">
        <f>ข้าราชการ!AB78</f>
        <v>0</v>
      </c>
      <c r="I54" s="152"/>
      <c r="J54" s="149"/>
      <c r="K54" s="306" t="s">
        <v>662</v>
      </c>
      <c r="L54" s="306"/>
      <c r="M54" s="154">
        <f>รายวัน!J22</f>
        <v>0</v>
      </c>
      <c r="N54" s="154"/>
      <c r="O54" s="155"/>
      <c r="P54" s="153" t="s">
        <v>137</v>
      </c>
      <c r="Q54" s="156">
        <v>0</v>
      </c>
      <c r="R54" s="152"/>
    </row>
    <row r="55" spans="1:18" ht="17.100000000000001" customHeight="1" x14ac:dyDescent="0.2">
      <c r="A55" s="149"/>
      <c r="B55" s="306" t="s">
        <v>5</v>
      </c>
      <c r="C55" s="306"/>
      <c r="D55" s="154">
        <f>รายวัน!K10</f>
        <v>0</v>
      </c>
      <c r="E55" s="154"/>
      <c r="F55" s="155"/>
      <c r="G55" s="150" t="s">
        <v>56</v>
      </c>
      <c r="H55" s="156">
        <f>รายวัน!T10</f>
        <v>0</v>
      </c>
      <c r="I55" s="152"/>
      <c r="J55" s="149"/>
      <c r="K55" s="306" t="s">
        <v>5</v>
      </c>
      <c r="L55" s="306"/>
      <c r="M55" s="154">
        <f>รายวัน!K22</f>
        <v>0</v>
      </c>
      <c r="N55" s="154"/>
      <c r="O55" s="155"/>
      <c r="P55" s="150" t="s">
        <v>56</v>
      </c>
      <c r="Q55" s="156">
        <f>รายวัน!T22</f>
        <v>0</v>
      </c>
      <c r="R55" s="152"/>
    </row>
    <row r="56" spans="1:18" ht="17.100000000000001" customHeight="1" x14ac:dyDescent="0.2">
      <c r="A56" s="149"/>
      <c r="B56" s="150" t="s">
        <v>6</v>
      </c>
      <c r="C56" s="150"/>
      <c r="D56" s="154">
        <v>0</v>
      </c>
      <c r="E56" s="154"/>
      <c r="F56" s="155"/>
      <c r="G56" s="150" t="s">
        <v>57</v>
      </c>
      <c r="H56" s="156">
        <f>รายวัน!U10</f>
        <v>0</v>
      </c>
      <c r="I56" s="152"/>
      <c r="J56" s="149"/>
      <c r="K56" s="150" t="s">
        <v>6</v>
      </c>
      <c r="L56" s="150"/>
      <c r="M56" s="154">
        <v>0</v>
      </c>
      <c r="N56" s="154"/>
      <c r="O56" s="155"/>
      <c r="P56" s="150" t="s">
        <v>57</v>
      </c>
      <c r="Q56" s="156">
        <f>รายวัน!U22</f>
        <v>0</v>
      </c>
      <c r="R56" s="152"/>
    </row>
    <row r="57" spans="1:18" ht="17.100000000000001" customHeight="1" x14ac:dyDescent="0.2">
      <c r="A57" s="149"/>
      <c r="B57" s="150" t="s">
        <v>7</v>
      </c>
      <c r="C57" s="150"/>
      <c r="D57" s="154">
        <v>0</v>
      </c>
      <c r="E57" s="154"/>
      <c r="F57" s="155"/>
      <c r="G57" s="150"/>
      <c r="H57" s="154"/>
      <c r="I57" s="152"/>
      <c r="J57" s="149"/>
      <c r="K57" s="150" t="s">
        <v>7</v>
      </c>
      <c r="L57" s="150"/>
      <c r="M57" s="154">
        <v>0</v>
      </c>
      <c r="N57" s="154"/>
      <c r="O57" s="155"/>
      <c r="P57" s="150"/>
      <c r="Q57" s="154"/>
      <c r="R57" s="152"/>
    </row>
    <row r="58" spans="1:18" ht="17.100000000000001" customHeight="1" x14ac:dyDescent="0.2">
      <c r="A58" s="149"/>
      <c r="B58" s="307" t="s">
        <v>101</v>
      </c>
      <c r="C58" s="307"/>
      <c r="D58" s="154">
        <f>SUM(D49:D57)</f>
        <v>7</v>
      </c>
      <c r="E58" s="154"/>
      <c r="F58" s="157"/>
      <c r="G58" s="147" t="s">
        <v>102</v>
      </c>
      <c r="H58" s="157">
        <f>SUM(H49:H57)</f>
        <v>0</v>
      </c>
      <c r="I58" s="152"/>
      <c r="J58" s="149"/>
      <c r="K58" s="307" t="s">
        <v>101</v>
      </c>
      <c r="L58" s="307"/>
      <c r="M58" s="154">
        <f>SUM(M49:M57)</f>
        <v>0</v>
      </c>
      <c r="N58" s="154"/>
      <c r="O58" s="157"/>
      <c r="P58" s="147" t="s">
        <v>102</v>
      </c>
      <c r="Q58" s="157">
        <f>SUM(Q49:Q57)</f>
        <v>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7</v>
      </c>
      <c r="E59" s="157"/>
      <c r="F59" s="158" t="s">
        <v>104</v>
      </c>
      <c r="H59" s="150"/>
      <c r="I59" s="152"/>
      <c r="J59" s="149"/>
      <c r="K59" s="150"/>
      <c r="L59" s="147" t="s">
        <v>103</v>
      </c>
      <c r="M59" s="157">
        <f>M58-Q58</f>
        <v>0</v>
      </c>
      <c r="N59" s="157"/>
      <c r="O59" s="158" t="s">
        <v>104</v>
      </c>
      <c r="Q59" s="150"/>
      <c r="R59" s="152"/>
    </row>
    <row r="60" spans="1:18" ht="17.100000000000001" customHeight="1" x14ac:dyDescent="0.2">
      <c r="A60" s="149"/>
      <c r="C60" s="307" t="str">
        <f>"("&amp;BAHTTEXT(D59)&amp;")"</f>
        <v>(เจ็ดบาทถ้วน)</v>
      </c>
      <c r="D60" s="307"/>
      <c r="E60" s="307"/>
      <c r="F60" s="307"/>
      <c r="G60" s="307"/>
      <c r="I60" s="152"/>
      <c r="J60" s="149"/>
      <c r="L60" s="307" t="str">
        <f>"("&amp;BAHTTEXT(M59)&amp;")"</f>
        <v>(ศูนย์บาทถ้วน)</v>
      </c>
      <c r="M60" s="307"/>
      <c r="N60" s="307"/>
      <c r="O60" s="307"/>
      <c r="P60" s="307"/>
      <c r="R60" s="152"/>
    </row>
    <row r="61" spans="1:18" ht="17.100000000000001" customHeight="1" x14ac:dyDescent="0.2">
      <c r="A61" s="149"/>
      <c r="C61" s="147"/>
      <c r="D61" s="147"/>
      <c r="E61" s="147"/>
      <c r="F61" s="147"/>
      <c r="G61" s="147"/>
      <c r="I61" s="152"/>
      <c r="J61" s="149"/>
      <c r="L61" s="147"/>
      <c r="M61" s="147"/>
      <c r="N61" s="147"/>
      <c r="O61" s="147"/>
      <c r="P61" s="147"/>
      <c r="R61" s="152"/>
    </row>
    <row r="62" spans="1:18" ht="17.100000000000001" customHeight="1" x14ac:dyDescent="0.2">
      <c r="A62" s="149"/>
      <c r="C62" s="147"/>
      <c r="D62" s="147"/>
      <c r="E62" s="147"/>
      <c r="F62" s="147"/>
      <c r="G62" s="147"/>
      <c r="I62" s="152"/>
      <c r="J62" s="149"/>
      <c r="L62" s="147"/>
      <c r="M62" s="147"/>
      <c r="N62" s="147"/>
      <c r="O62" s="147"/>
      <c r="P62" s="147"/>
      <c r="R62" s="152"/>
    </row>
    <row r="63" spans="1:18" ht="17.100000000000001" customHeight="1" x14ac:dyDescent="0.2">
      <c r="A63" s="149"/>
      <c r="I63" s="152"/>
      <c r="J63" s="149"/>
      <c r="R63" s="152"/>
    </row>
    <row r="64" spans="1:18" ht="17.100000000000001" customHeight="1" x14ac:dyDescent="0.2">
      <c r="A64" s="149"/>
      <c r="I64" s="152"/>
      <c r="J64" s="149"/>
      <c r="R64" s="152"/>
    </row>
    <row r="65" spans="1:18" ht="17.100000000000001" customHeight="1" x14ac:dyDescent="0.2">
      <c r="A65" s="308" t="s">
        <v>315</v>
      </c>
      <c r="B65" s="307"/>
      <c r="C65" s="307"/>
      <c r="D65" s="307"/>
      <c r="E65" s="307"/>
      <c r="F65" s="307"/>
      <c r="G65" s="307"/>
      <c r="H65" s="307"/>
      <c r="I65" s="309"/>
      <c r="J65" s="308" t="s">
        <v>315</v>
      </c>
      <c r="K65" s="307"/>
      <c r="L65" s="307"/>
      <c r="M65" s="307"/>
      <c r="N65" s="307"/>
      <c r="O65" s="307"/>
      <c r="P65" s="307"/>
      <c r="Q65" s="307"/>
      <c r="R65" s="309"/>
    </row>
    <row r="66" spans="1:18" ht="17.100000000000001" customHeight="1" x14ac:dyDescent="0.2">
      <c r="A66" s="310" t="s">
        <v>298</v>
      </c>
      <c r="B66" s="311"/>
      <c r="C66" s="311"/>
      <c r="D66" s="311"/>
      <c r="E66" s="311"/>
      <c r="F66" s="311"/>
      <c r="G66" s="311"/>
      <c r="H66" s="311"/>
      <c r="I66" s="312"/>
      <c r="J66" s="310" t="s">
        <v>298</v>
      </c>
      <c r="K66" s="311"/>
      <c r="L66" s="311"/>
      <c r="M66" s="311"/>
      <c r="N66" s="311"/>
      <c r="O66" s="311"/>
      <c r="P66" s="311"/>
      <c r="Q66" s="311"/>
      <c r="R66" s="312"/>
    </row>
    <row r="67" spans="1:18" ht="17.100000000000001" customHeight="1" x14ac:dyDescent="0.2">
      <c r="A67" s="313" t="str">
        <f>A1</f>
        <v>โรงพยาบาลสามโคก  ประจำเดือน  พฤศจิกายน  2568</v>
      </c>
      <c r="B67" s="314"/>
      <c r="C67" s="314"/>
      <c r="D67" s="314"/>
      <c r="E67" s="314"/>
      <c r="F67" s="314"/>
      <c r="G67" s="314"/>
      <c r="H67" s="314"/>
      <c r="I67" s="315"/>
      <c r="J67" s="313" t="str">
        <f>รว!A23</f>
        <v>โรงพยาบาลสามโคก  ประจำเดือน  พฤศจิกายน  2568</v>
      </c>
      <c r="K67" s="314"/>
      <c r="L67" s="314"/>
      <c r="M67" s="314"/>
      <c r="N67" s="314"/>
      <c r="O67" s="314"/>
      <c r="P67" s="314"/>
      <c r="Q67" s="314"/>
      <c r="R67" s="315"/>
    </row>
    <row r="68" spans="1:18" ht="17.100000000000001" customHeight="1" x14ac:dyDescent="0.2">
      <c r="A68" s="308" t="s">
        <v>344</v>
      </c>
      <c r="B68" s="307"/>
      <c r="C68" s="307"/>
      <c r="D68" s="307"/>
      <c r="E68" s="307"/>
      <c r="F68" s="307"/>
      <c r="G68" s="307"/>
      <c r="H68" s="307"/>
      <c r="I68" s="309"/>
      <c r="J68" s="308" t="s">
        <v>423</v>
      </c>
      <c r="K68" s="307"/>
      <c r="L68" s="307"/>
      <c r="M68" s="307"/>
      <c r="N68" s="307"/>
      <c r="O68" s="307"/>
      <c r="P68" s="307"/>
      <c r="Q68" s="307"/>
      <c r="R68" s="309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  <c r="J69" s="149"/>
      <c r="K69" s="153"/>
      <c r="L69" s="150"/>
      <c r="M69" s="147"/>
      <c r="N69" s="147"/>
      <c r="O69" s="147"/>
      <c r="P69" s="150"/>
      <c r="Q69" s="150"/>
      <c r="R69" s="152"/>
    </row>
    <row r="70" spans="1:18" ht="17.100000000000001" customHeight="1" x14ac:dyDescent="0.2">
      <c r="A70" s="149"/>
      <c r="B70" s="307" t="s">
        <v>9</v>
      </c>
      <c r="C70" s="307"/>
      <c r="D70" s="307"/>
      <c r="E70" s="147"/>
      <c r="F70" s="147"/>
      <c r="G70" s="147" t="s">
        <v>10</v>
      </c>
      <c r="H70" s="147"/>
      <c r="I70" s="152"/>
      <c r="J70" s="149"/>
      <c r="K70" s="307" t="s">
        <v>9</v>
      </c>
      <c r="L70" s="307"/>
      <c r="M70" s="307"/>
      <c r="N70" s="147"/>
      <c r="O70" s="147"/>
      <c r="P70" s="147" t="s">
        <v>10</v>
      </c>
      <c r="Q70" s="147"/>
      <c r="R70" s="152"/>
    </row>
    <row r="71" spans="1:18" ht="17.100000000000001" customHeight="1" x14ac:dyDescent="0.2">
      <c r="A71" s="149"/>
      <c r="B71" s="150" t="s">
        <v>3</v>
      </c>
      <c r="C71" s="150"/>
      <c r="D71" s="154">
        <f>รายวัน!E11</f>
        <v>0</v>
      </c>
      <c r="E71" s="154"/>
      <c r="F71" s="155"/>
      <c r="G71" s="150" t="s">
        <v>99</v>
      </c>
      <c r="H71" s="154">
        <f>ข้าราชการ!W100</f>
        <v>0</v>
      </c>
      <c r="I71" s="152"/>
      <c r="J71" s="149"/>
      <c r="K71" s="150" t="s">
        <v>3</v>
      </c>
      <c r="L71" s="150"/>
      <c r="M71" s="154">
        <f>รายวัน!E23</f>
        <v>0</v>
      </c>
      <c r="N71" s="154"/>
      <c r="O71" s="155"/>
      <c r="P71" s="150" t="s">
        <v>99</v>
      </c>
      <c r="Q71" s="154">
        <v>0</v>
      </c>
      <c r="R71" s="152"/>
    </row>
    <row r="72" spans="1:18" ht="17.100000000000001" customHeight="1" x14ac:dyDescent="0.2">
      <c r="A72" s="149"/>
      <c r="B72" s="150" t="s">
        <v>106</v>
      </c>
      <c r="C72" s="150"/>
      <c r="D72" s="154">
        <v>0</v>
      </c>
      <c r="E72" s="154"/>
      <c r="F72" s="155"/>
      <c r="G72" s="150" t="s">
        <v>116</v>
      </c>
      <c r="H72" s="154">
        <f>รายวัน!O11</f>
        <v>0</v>
      </c>
      <c r="I72" s="152"/>
      <c r="J72" s="149"/>
      <c r="K72" s="150" t="s">
        <v>106</v>
      </c>
      <c r="L72" s="150"/>
      <c r="M72" s="154">
        <v>0</v>
      </c>
      <c r="N72" s="154"/>
      <c r="O72" s="155"/>
      <c r="P72" s="150" t="s">
        <v>116</v>
      </c>
      <c r="Q72" s="154">
        <f>รายวัน!O23</f>
        <v>0</v>
      </c>
      <c r="R72" s="152"/>
    </row>
    <row r="73" spans="1:18" ht="17.100000000000001" customHeight="1" x14ac:dyDescent="0.2">
      <c r="A73" s="149"/>
      <c r="B73" s="306" t="s">
        <v>140</v>
      </c>
      <c r="C73" s="306"/>
      <c r="D73" s="154">
        <v>0</v>
      </c>
      <c r="E73" s="154"/>
      <c r="F73" s="155"/>
      <c r="G73" s="150" t="s">
        <v>54</v>
      </c>
      <c r="H73" s="154">
        <v>0</v>
      </c>
      <c r="I73" s="152"/>
      <c r="J73" s="149"/>
      <c r="K73" s="306" t="s">
        <v>140</v>
      </c>
      <c r="L73" s="306"/>
      <c r="M73" s="154">
        <v>0</v>
      </c>
      <c r="N73" s="154"/>
      <c r="O73" s="155"/>
      <c r="P73" s="150" t="s">
        <v>54</v>
      </c>
      <c r="Q73" s="154">
        <v>0</v>
      </c>
      <c r="R73" s="152"/>
    </row>
    <row r="74" spans="1:18" ht="17.100000000000001" customHeight="1" x14ac:dyDescent="0.2">
      <c r="A74" s="149"/>
      <c r="B74" s="306" t="s">
        <v>130</v>
      </c>
      <c r="C74" s="306"/>
      <c r="D74" s="154">
        <v>0</v>
      </c>
      <c r="E74" s="154"/>
      <c r="F74" s="155"/>
      <c r="G74" s="150" t="s">
        <v>100</v>
      </c>
      <c r="H74" s="154">
        <v>0</v>
      </c>
      <c r="I74" s="152"/>
      <c r="J74" s="149"/>
      <c r="K74" s="306" t="s">
        <v>130</v>
      </c>
      <c r="L74" s="306"/>
      <c r="M74" s="154">
        <f>รายวัน!H23</f>
        <v>0</v>
      </c>
      <c r="N74" s="154"/>
      <c r="O74" s="155"/>
      <c r="P74" s="150" t="s">
        <v>100</v>
      </c>
      <c r="Q74" s="154">
        <v>0</v>
      </c>
      <c r="R74" s="152"/>
    </row>
    <row r="75" spans="1:18" ht="17.100000000000001" customHeight="1" x14ac:dyDescent="0.2">
      <c r="A75" s="149"/>
      <c r="B75" s="306" t="s">
        <v>661</v>
      </c>
      <c r="C75" s="306"/>
      <c r="D75" s="154">
        <f>รายวัน!I11</f>
        <v>0</v>
      </c>
      <c r="E75" s="154"/>
      <c r="F75" s="155"/>
      <c r="G75" s="153" t="s">
        <v>377</v>
      </c>
      <c r="H75" s="156">
        <f>รายวัน!S11</f>
        <v>0</v>
      </c>
      <c r="I75" s="152"/>
      <c r="J75" s="149"/>
      <c r="K75" s="306" t="s">
        <v>661</v>
      </c>
      <c r="L75" s="306"/>
      <c r="M75" s="154">
        <f>รายวัน!I23</f>
        <v>0</v>
      </c>
      <c r="N75" s="154"/>
      <c r="O75" s="155"/>
      <c r="P75" s="153" t="s">
        <v>377</v>
      </c>
      <c r="Q75" s="156">
        <f>รายวัน!S23</f>
        <v>0</v>
      </c>
      <c r="R75" s="152"/>
    </row>
    <row r="76" spans="1:18" ht="17.100000000000001" customHeight="1" x14ac:dyDescent="0.2">
      <c r="A76" s="149"/>
      <c r="B76" s="306" t="s">
        <v>662</v>
      </c>
      <c r="C76" s="306"/>
      <c r="D76" s="154">
        <f>รายวัน!J11</f>
        <v>0</v>
      </c>
      <c r="E76" s="154"/>
      <c r="F76" s="155"/>
      <c r="G76" s="153" t="s">
        <v>137</v>
      </c>
      <c r="H76" s="156">
        <f>ข้าราชการ!AB100</f>
        <v>0</v>
      </c>
      <c r="I76" s="152"/>
      <c r="J76" s="149"/>
      <c r="K76" s="306" t="s">
        <v>662</v>
      </c>
      <c r="L76" s="306"/>
      <c r="M76" s="154">
        <f>รายวัน!J23</f>
        <v>0</v>
      </c>
      <c r="N76" s="154"/>
      <c r="O76" s="155"/>
      <c r="P76" s="153" t="s">
        <v>137</v>
      </c>
      <c r="Q76" s="156">
        <v>0</v>
      </c>
      <c r="R76" s="152"/>
    </row>
    <row r="77" spans="1:18" ht="17.100000000000001" customHeight="1" x14ac:dyDescent="0.2">
      <c r="A77" s="149"/>
      <c r="B77" s="306" t="s">
        <v>5</v>
      </c>
      <c r="C77" s="306"/>
      <c r="D77" s="154">
        <f>รายวัน!K11</f>
        <v>0</v>
      </c>
      <c r="E77" s="154"/>
      <c r="F77" s="155"/>
      <c r="G77" s="150" t="s">
        <v>56</v>
      </c>
      <c r="H77" s="156">
        <f>ข้าราชการ!AC100</f>
        <v>0</v>
      </c>
      <c r="I77" s="152"/>
      <c r="J77" s="149"/>
      <c r="K77" s="306" t="s">
        <v>5</v>
      </c>
      <c r="L77" s="306"/>
      <c r="M77" s="154">
        <f>รายวัน!K24</f>
        <v>0</v>
      </c>
      <c r="N77" s="154"/>
      <c r="O77" s="155"/>
      <c r="P77" s="150" t="s">
        <v>56</v>
      </c>
      <c r="Q77" s="156">
        <f>รายวัน!T23</f>
        <v>0</v>
      </c>
      <c r="R77" s="152"/>
    </row>
    <row r="78" spans="1:18" ht="17.100000000000001" customHeight="1" x14ac:dyDescent="0.2">
      <c r="A78" s="149"/>
      <c r="B78" s="150" t="s">
        <v>6</v>
      </c>
      <c r="C78" s="150"/>
      <c r="D78" s="154">
        <v>0</v>
      </c>
      <c r="E78" s="154"/>
      <c r="F78" s="155"/>
      <c r="G78" s="150" t="s">
        <v>57</v>
      </c>
      <c r="H78" s="156">
        <f>ข้าราชการ!AD100</f>
        <v>0</v>
      </c>
      <c r="I78" s="152"/>
      <c r="J78" s="149"/>
      <c r="K78" s="150" t="s">
        <v>6</v>
      </c>
      <c r="L78" s="150"/>
      <c r="M78" s="154">
        <v>0</v>
      </c>
      <c r="N78" s="154"/>
      <c r="O78" s="155"/>
      <c r="P78" s="150" t="s">
        <v>57</v>
      </c>
      <c r="Q78" s="156">
        <f>รายวัน!U23</f>
        <v>0</v>
      </c>
      <c r="R78" s="152"/>
    </row>
    <row r="79" spans="1:18" ht="17.100000000000001" customHeight="1" x14ac:dyDescent="0.2">
      <c r="A79" s="149"/>
      <c r="B79" s="150" t="s">
        <v>7</v>
      </c>
      <c r="C79" s="150"/>
      <c r="D79" s="154">
        <v>0</v>
      </c>
      <c r="E79" s="154"/>
      <c r="F79" s="155"/>
      <c r="G79" s="150"/>
      <c r="H79" s="154"/>
      <c r="I79" s="152"/>
      <c r="J79" s="149"/>
      <c r="K79" s="150" t="s">
        <v>7</v>
      </c>
      <c r="L79" s="150"/>
      <c r="M79" s="154">
        <v>0</v>
      </c>
      <c r="N79" s="154"/>
      <c r="O79" s="155"/>
      <c r="P79" s="150"/>
      <c r="Q79" s="154"/>
      <c r="R79" s="152"/>
    </row>
    <row r="80" spans="1:18" ht="17.100000000000001" customHeight="1" x14ac:dyDescent="0.2">
      <c r="A80" s="149"/>
      <c r="B80" s="307" t="s">
        <v>101</v>
      </c>
      <c r="C80" s="307"/>
      <c r="D80" s="154">
        <f>SUM(D71:D79)</f>
        <v>0</v>
      </c>
      <c r="E80" s="154"/>
      <c r="F80" s="157"/>
      <c r="G80" s="147" t="s">
        <v>102</v>
      </c>
      <c r="H80" s="157">
        <f>SUM(H71:H79)</f>
        <v>0</v>
      </c>
      <c r="I80" s="152"/>
      <c r="J80" s="149"/>
      <c r="K80" s="307" t="s">
        <v>101</v>
      </c>
      <c r="L80" s="307"/>
      <c r="M80" s="154">
        <f>SUM(M71:M79)</f>
        <v>0</v>
      </c>
      <c r="N80" s="154"/>
      <c r="O80" s="157"/>
      <c r="P80" s="147" t="s">
        <v>102</v>
      </c>
      <c r="Q80" s="157">
        <f>SUM(Q71:Q79)</f>
        <v>0</v>
      </c>
      <c r="R80" s="152"/>
    </row>
    <row r="81" spans="1:18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  <c r="J81" s="149"/>
      <c r="K81" s="150"/>
      <c r="L81" s="147" t="s">
        <v>103</v>
      </c>
      <c r="M81" s="157">
        <f>M80-Q80</f>
        <v>0</v>
      </c>
      <c r="N81" s="157"/>
      <c r="O81" s="158" t="s">
        <v>104</v>
      </c>
      <c r="Q81" s="150"/>
      <c r="R81" s="152"/>
    </row>
    <row r="82" spans="1:18" ht="17.100000000000001" customHeight="1" x14ac:dyDescent="0.2">
      <c r="A82" s="149"/>
      <c r="C82" s="307" t="str">
        <f>"("&amp;BAHTTEXT(D81)&amp;")"</f>
        <v>(ศูนย์บาทถ้วน)</v>
      </c>
      <c r="D82" s="307"/>
      <c r="E82" s="307"/>
      <c r="F82" s="307"/>
      <c r="G82" s="307"/>
      <c r="I82" s="152"/>
      <c r="J82" s="149"/>
      <c r="L82" s="307" t="str">
        <f>"("&amp;BAHTTEXT(M81)&amp;")"</f>
        <v>(ศูนย์บาทถ้วน)</v>
      </c>
      <c r="M82" s="307"/>
      <c r="N82" s="307"/>
      <c r="O82" s="307"/>
      <c r="P82" s="307"/>
      <c r="R82" s="152"/>
    </row>
    <row r="83" spans="1:18" ht="17.100000000000001" customHeight="1" x14ac:dyDescent="0.2">
      <c r="A83" s="149"/>
      <c r="C83" s="147"/>
      <c r="D83" s="147"/>
      <c r="E83" s="147"/>
      <c r="F83" s="147"/>
      <c r="G83" s="147"/>
      <c r="I83" s="152"/>
      <c r="J83" s="149"/>
      <c r="L83" s="147"/>
      <c r="M83" s="147"/>
      <c r="N83" s="147"/>
      <c r="O83" s="147"/>
      <c r="P83" s="147"/>
      <c r="R83" s="152"/>
    </row>
    <row r="84" spans="1:18" ht="17.100000000000001" customHeight="1" x14ac:dyDescent="0.2">
      <c r="A84" s="149"/>
      <c r="C84" s="147"/>
      <c r="D84" s="147"/>
      <c r="E84" s="147"/>
      <c r="F84" s="147"/>
      <c r="G84" s="147"/>
      <c r="I84" s="152"/>
      <c r="J84" s="149"/>
      <c r="L84" s="147"/>
      <c r="M84" s="147"/>
      <c r="N84" s="147"/>
      <c r="O84" s="147"/>
      <c r="P84" s="147"/>
      <c r="R84" s="152"/>
    </row>
    <row r="85" spans="1:18" ht="17.100000000000001" customHeight="1" x14ac:dyDescent="0.2">
      <c r="A85" s="149"/>
      <c r="I85" s="152"/>
      <c r="J85" s="149"/>
      <c r="R85" s="152"/>
    </row>
    <row r="86" spans="1:18" ht="17.100000000000001" customHeight="1" x14ac:dyDescent="0.2">
      <c r="A86" s="149"/>
      <c r="I86" s="152"/>
      <c r="J86" s="149"/>
      <c r="R86" s="152"/>
    </row>
    <row r="87" spans="1:18" ht="17.100000000000001" customHeight="1" x14ac:dyDescent="0.2">
      <c r="A87" s="308" t="s">
        <v>315</v>
      </c>
      <c r="B87" s="307"/>
      <c r="C87" s="307"/>
      <c r="D87" s="307"/>
      <c r="E87" s="307"/>
      <c r="F87" s="307"/>
      <c r="G87" s="307"/>
      <c r="H87" s="307"/>
      <c r="I87" s="309"/>
      <c r="J87" s="308" t="s">
        <v>315</v>
      </c>
      <c r="K87" s="307"/>
      <c r="L87" s="307"/>
      <c r="M87" s="307"/>
      <c r="N87" s="307"/>
      <c r="O87" s="307"/>
      <c r="P87" s="307"/>
      <c r="Q87" s="307"/>
      <c r="R87" s="309"/>
    </row>
    <row r="88" spans="1:18" ht="17.100000000000001" customHeight="1" x14ac:dyDescent="0.2">
      <c r="A88" s="310" t="s">
        <v>298</v>
      </c>
      <c r="B88" s="311"/>
      <c r="C88" s="311"/>
      <c r="D88" s="311"/>
      <c r="E88" s="311"/>
      <c r="F88" s="311"/>
      <c r="G88" s="311"/>
      <c r="H88" s="311"/>
      <c r="I88" s="312"/>
      <c r="J88" s="310" t="s">
        <v>298</v>
      </c>
      <c r="K88" s="311"/>
      <c r="L88" s="311"/>
      <c r="M88" s="311"/>
      <c r="N88" s="311"/>
      <c r="O88" s="311"/>
      <c r="P88" s="311"/>
      <c r="Q88" s="311"/>
      <c r="R88" s="312"/>
    </row>
    <row r="89" spans="1:18" ht="17.100000000000001" customHeight="1" x14ac:dyDescent="0.2">
      <c r="A89" s="313" t="str">
        <f>A1</f>
        <v>โรงพยาบาลสามโคก  ประจำเดือน  พฤศจิกายน  2568</v>
      </c>
      <c r="B89" s="314"/>
      <c r="C89" s="314"/>
      <c r="D89" s="314"/>
      <c r="E89" s="314"/>
      <c r="F89" s="314"/>
      <c r="G89" s="314"/>
      <c r="H89" s="314"/>
      <c r="I89" s="315"/>
      <c r="J89" s="313" t="str">
        <f>A1</f>
        <v>โรงพยาบาลสามโคก  ประจำเดือน  พฤศจิกายน  2568</v>
      </c>
      <c r="K89" s="314"/>
      <c r="L89" s="314"/>
      <c r="M89" s="314"/>
      <c r="N89" s="314"/>
      <c r="O89" s="314"/>
      <c r="P89" s="314"/>
      <c r="Q89" s="314"/>
      <c r="R89" s="315"/>
    </row>
    <row r="90" spans="1:18" ht="17.100000000000001" customHeight="1" x14ac:dyDescent="0.2">
      <c r="A90" s="308" t="s">
        <v>345</v>
      </c>
      <c r="B90" s="307"/>
      <c r="C90" s="307"/>
      <c r="D90" s="307"/>
      <c r="E90" s="307"/>
      <c r="F90" s="307"/>
      <c r="G90" s="307"/>
      <c r="H90" s="307"/>
      <c r="I90" s="309"/>
      <c r="J90" s="308" t="s">
        <v>436</v>
      </c>
      <c r="K90" s="307"/>
      <c r="L90" s="307"/>
      <c r="M90" s="307"/>
      <c r="N90" s="307"/>
      <c r="O90" s="307"/>
      <c r="P90" s="307"/>
      <c r="Q90" s="307"/>
      <c r="R90" s="309"/>
    </row>
    <row r="91" spans="1:18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  <c r="J91" s="149"/>
      <c r="K91" s="153"/>
      <c r="L91" s="150"/>
      <c r="M91" s="147"/>
      <c r="N91" s="147"/>
      <c r="O91" s="147"/>
      <c r="P91" s="150"/>
      <c r="Q91" s="150"/>
      <c r="R91" s="152"/>
    </row>
    <row r="92" spans="1:18" ht="17.100000000000001" customHeight="1" x14ac:dyDescent="0.2">
      <c r="A92" s="149"/>
      <c r="B92" s="307" t="s">
        <v>9</v>
      </c>
      <c r="C92" s="307"/>
      <c r="D92" s="307"/>
      <c r="E92" s="147"/>
      <c r="F92" s="147"/>
      <c r="G92" s="147" t="s">
        <v>10</v>
      </c>
      <c r="H92" s="147"/>
      <c r="I92" s="152"/>
      <c r="J92" s="149"/>
      <c r="K92" s="307" t="s">
        <v>9</v>
      </c>
      <c r="L92" s="307"/>
      <c r="M92" s="307"/>
      <c r="N92" s="147"/>
      <c r="O92" s="147"/>
      <c r="P92" s="147" t="s">
        <v>10</v>
      </c>
      <c r="Q92" s="147"/>
      <c r="R92" s="152"/>
    </row>
    <row r="93" spans="1:18" ht="17.100000000000001" customHeight="1" x14ac:dyDescent="0.2">
      <c r="A93" s="149"/>
      <c r="B93" s="150" t="s">
        <v>3</v>
      </c>
      <c r="C93" s="150"/>
      <c r="D93" s="154">
        <f>รายวัน!E12</f>
        <v>0</v>
      </c>
      <c r="E93" s="154"/>
      <c r="F93" s="155"/>
      <c r="G93" s="150" t="s">
        <v>99</v>
      </c>
      <c r="H93" s="154">
        <f>ข้าราชการ!W122</f>
        <v>0</v>
      </c>
      <c r="I93" s="152"/>
      <c r="J93" s="149"/>
      <c r="K93" s="150" t="s">
        <v>3</v>
      </c>
      <c r="L93" s="150"/>
      <c r="M93" s="154">
        <f>รายวัน!E24</f>
        <v>0</v>
      </c>
      <c r="N93" s="154"/>
      <c r="O93" s="155"/>
      <c r="P93" s="150" t="s">
        <v>99</v>
      </c>
      <c r="Q93" s="154">
        <v>0</v>
      </c>
      <c r="R93" s="152"/>
    </row>
    <row r="94" spans="1:18" ht="17.100000000000001" customHeight="1" x14ac:dyDescent="0.2">
      <c r="A94" s="149"/>
      <c r="B94" s="150" t="s">
        <v>106</v>
      </c>
      <c r="C94" s="150"/>
      <c r="D94" s="154">
        <v>0</v>
      </c>
      <c r="E94" s="154"/>
      <c r="F94" s="155"/>
      <c r="G94" s="150" t="s">
        <v>116</v>
      </c>
      <c r="H94" s="154">
        <f>รายวัน!O12</f>
        <v>0</v>
      </c>
      <c r="I94" s="152"/>
      <c r="J94" s="149"/>
      <c r="K94" s="150" t="s">
        <v>106</v>
      </c>
      <c r="L94" s="150"/>
      <c r="M94" s="154">
        <v>0</v>
      </c>
      <c r="N94" s="154"/>
      <c r="O94" s="155"/>
      <c r="P94" s="150" t="s">
        <v>116</v>
      </c>
      <c r="Q94" s="154">
        <f>รายวัน!O24</f>
        <v>0</v>
      </c>
      <c r="R94" s="152"/>
    </row>
    <row r="95" spans="1:18" ht="17.100000000000001" customHeight="1" x14ac:dyDescent="0.2">
      <c r="A95" s="149"/>
      <c r="B95" s="306" t="s">
        <v>140</v>
      </c>
      <c r="C95" s="306"/>
      <c r="D95" s="154">
        <v>0</v>
      </c>
      <c r="E95" s="154"/>
      <c r="F95" s="155"/>
      <c r="G95" s="150" t="s">
        <v>54</v>
      </c>
      <c r="H95" s="154">
        <v>0</v>
      </c>
      <c r="I95" s="152"/>
      <c r="J95" s="149"/>
      <c r="K95" s="306" t="s">
        <v>140</v>
      </c>
      <c r="L95" s="306"/>
      <c r="M95" s="154">
        <v>0</v>
      </c>
      <c r="N95" s="154"/>
      <c r="O95" s="155"/>
      <c r="P95" s="150" t="s">
        <v>54</v>
      </c>
      <c r="Q95" s="154">
        <v>0</v>
      </c>
      <c r="R95" s="152"/>
    </row>
    <row r="96" spans="1:18" ht="17.100000000000001" customHeight="1" x14ac:dyDescent="0.2">
      <c r="A96" s="149"/>
      <c r="B96" s="306" t="s">
        <v>130</v>
      </c>
      <c r="C96" s="306"/>
      <c r="D96" s="154">
        <v>0</v>
      </c>
      <c r="E96" s="154"/>
      <c r="F96" s="155"/>
      <c r="G96" s="150" t="s">
        <v>100</v>
      </c>
      <c r="H96" s="154">
        <v>0</v>
      </c>
      <c r="I96" s="152"/>
      <c r="J96" s="149"/>
      <c r="K96" s="306" t="s">
        <v>130</v>
      </c>
      <c r="L96" s="306"/>
      <c r="M96" s="154">
        <f>รายวัน!H24</f>
        <v>0</v>
      </c>
      <c r="N96" s="154"/>
      <c r="O96" s="155"/>
      <c r="P96" s="150" t="s">
        <v>100</v>
      </c>
      <c r="Q96" s="154">
        <v>0</v>
      </c>
      <c r="R96" s="152"/>
    </row>
    <row r="97" spans="1:18" ht="17.100000000000001" customHeight="1" x14ac:dyDescent="0.2">
      <c r="A97" s="149"/>
      <c r="B97" s="306" t="s">
        <v>661</v>
      </c>
      <c r="C97" s="306"/>
      <c r="D97" s="154">
        <f>รายวัน!I12</f>
        <v>0</v>
      </c>
      <c r="E97" s="154"/>
      <c r="F97" s="155"/>
      <c r="G97" s="150" t="s">
        <v>55</v>
      </c>
      <c r="H97" s="156">
        <v>0</v>
      </c>
      <c r="I97" s="152"/>
      <c r="J97" s="149"/>
      <c r="K97" s="306" t="s">
        <v>661</v>
      </c>
      <c r="L97" s="306"/>
      <c r="M97" s="154">
        <f>รายวัน!I24</f>
        <v>0</v>
      </c>
      <c r="N97" s="154"/>
      <c r="O97" s="155"/>
      <c r="P97" s="150" t="s">
        <v>55</v>
      </c>
      <c r="Q97" s="156">
        <v>0</v>
      </c>
      <c r="R97" s="152"/>
    </row>
    <row r="98" spans="1:18" ht="17.100000000000001" customHeight="1" x14ac:dyDescent="0.2">
      <c r="A98" s="149"/>
      <c r="B98" s="306" t="s">
        <v>662</v>
      </c>
      <c r="C98" s="306"/>
      <c r="D98" s="154">
        <f>รายวัน!J12</f>
        <v>0</v>
      </c>
      <c r="E98" s="154"/>
      <c r="F98" s="155"/>
      <c r="G98" s="153" t="s">
        <v>377</v>
      </c>
      <c r="H98" s="156">
        <f>รายวัน!S12</f>
        <v>0</v>
      </c>
      <c r="I98" s="152"/>
      <c r="J98" s="149"/>
      <c r="K98" s="306" t="s">
        <v>662</v>
      </c>
      <c r="L98" s="306"/>
      <c r="M98" s="154">
        <f>รายวัน!J24</f>
        <v>0</v>
      </c>
      <c r="N98" s="154"/>
      <c r="O98" s="155"/>
      <c r="P98" s="153" t="s">
        <v>377</v>
      </c>
      <c r="Q98" s="156">
        <f>รายวัน!S24</f>
        <v>0</v>
      </c>
      <c r="R98" s="152"/>
    </row>
    <row r="99" spans="1:18" ht="17.100000000000001" customHeight="1" x14ac:dyDescent="0.2">
      <c r="A99" s="149"/>
      <c r="B99" s="306" t="s">
        <v>5</v>
      </c>
      <c r="C99" s="306"/>
      <c r="D99" s="154">
        <f>รายวัน!K12</f>
        <v>0</v>
      </c>
      <c r="E99" s="154"/>
      <c r="F99" s="155"/>
      <c r="G99" s="150" t="s">
        <v>56</v>
      </c>
      <c r="H99" s="156">
        <f>ข้าราชการ!AC122</f>
        <v>0</v>
      </c>
      <c r="I99" s="152"/>
      <c r="J99" s="149"/>
      <c r="K99" s="306" t="s">
        <v>5</v>
      </c>
      <c r="L99" s="306"/>
      <c r="M99" s="154">
        <f>รายวัน!K25</f>
        <v>0</v>
      </c>
      <c r="N99" s="154"/>
      <c r="O99" s="155"/>
      <c r="P99" s="150" t="s">
        <v>56</v>
      </c>
      <c r="Q99" s="156">
        <f>รายวัน!T24</f>
        <v>0</v>
      </c>
      <c r="R99" s="152"/>
    </row>
    <row r="100" spans="1:18" ht="17.100000000000001" customHeight="1" x14ac:dyDescent="0.2">
      <c r="A100" s="149"/>
      <c r="B100" s="150" t="s">
        <v>6</v>
      </c>
      <c r="C100" s="150"/>
      <c r="D100" s="154">
        <v>0</v>
      </c>
      <c r="E100" s="154"/>
      <c r="F100" s="155"/>
      <c r="G100" s="150" t="s">
        <v>57</v>
      </c>
      <c r="H100" s="156">
        <f>ข้าราชการ!AD122</f>
        <v>0</v>
      </c>
      <c r="I100" s="152"/>
      <c r="J100" s="149"/>
      <c r="K100" s="150" t="s">
        <v>6</v>
      </c>
      <c r="L100" s="150"/>
      <c r="M100" s="154">
        <v>0</v>
      </c>
      <c r="N100" s="154"/>
      <c r="O100" s="155"/>
      <c r="P100" s="150" t="s">
        <v>57</v>
      </c>
      <c r="Q100" s="156">
        <f>รายวัน!U24</f>
        <v>0</v>
      </c>
      <c r="R100" s="152"/>
    </row>
    <row r="101" spans="1:18" ht="17.100000000000001" customHeight="1" x14ac:dyDescent="0.2">
      <c r="A101" s="149"/>
      <c r="B101" s="150" t="s">
        <v>7</v>
      </c>
      <c r="C101" s="150"/>
      <c r="D101" s="154">
        <v>0</v>
      </c>
      <c r="E101" s="154"/>
      <c r="F101" s="155"/>
      <c r="G101" s="150"/>
      <c r="H101" s="154"/>
      <c r="I101" s="152"/>
      <c r="J101" s="149"/>
      <c r="K101" s="150" t="s">
        <v>7</v>
      </c>
      <c r="L101" s="150"/>
      <c r="M101" s="154">
        <v>0</v>
      </c>
      <c r="N101" s="154"/>
      <c r="O101" s="155"/>
      <c r="P101" s="150"/>
      <c r="Q101" s="154"/>
      <c r="R101" s="152"/>
    </row>
    <row r="102" spans="1:18" ht="17.100000000000001" customHeight="1" x14ac:dyDescent="0.2">
      <c r="A102" s="149"/>
      <c r="B102" s="307" t="s">
        <v>101</v>
      </c>
      <c r="C102" s="307"/>
      <c r="D102" s="154">
        <f>SUM(D93:D101)</f>
        <v>0</v>
      </c>
      <c r="E102" s="154"/>
      <c r="F102" s="157"/>
      <c r="G102" s="147" t="s">
        <v>102</v>
      </c>
      <c r="H102" s="157">
        <f>SUM(H93:H101)</f>
        <v>0</v>
      </c>
      <c r="I102" s="152"/>
      <c r="J102" s="149"/>
      <c r="K102" s="307" t="s">
        <v>101</v>
      </c>
      <c r="L102" s="307"/>
      <c r="M102" s="154">
        <f>SUM(M93:M101)</f>
        <v>0</v>
      </c>
      <c r="N102" s="154"/>
      <c r="O102" s="157"/>
      <c r="P102" s="147" t="s">
        <v>102</v>
      </c>
      <c r="Q102" s="157">
        <f>SUM(Q93:Q101)</f>
        <v>0</v>
      </c>
      <c r="R102" s="152"/>
    </row>
    <row r="103" spans="1:18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  <c r="J103" s="149"/>
      <c r="K103" s="150"/>
      <c r="L103" s="147" t="s">
        <v>103</v>
      </c>
      <c r="M103" s="157">
        <f>M102-Q102</f>
        <v>0</v>
      </c>
      <c r="N103" s="157"/>
      <c r="O103" s="158" t="s">
        <v>104</v>
      </c>
      <c r="Q103" s="150"/>
      <c r="R103" s="152"/>
    </row>
    <row r="104" spans="1:18" ht="17.100000000000001" customHeight="1" x14ac:dyDescent="0.2">
      <c r="A104" s="149"/>
      <c r="C104" s="307" t="str">
        <f>"("&amp;BAHTTEXT(D103)&amp;")"</f>
        <v>(ศูนย์บาทถ้วน)</v>
      </c>
      <c r="D104" s="307"/>
      <c r="E104" s="307"/>
      <c r="F104" s="307"/>
      <c r="G104" s="307"/>
      <c r="I104" s="152"/>
      <c r="J104" s="149"/>
      <c r="L104" s="307" t="str">
        <f>"("&amp;BAHTTEXT(M103)&amp;")"</f>
        <v>(ศูนย์บาทถ้วน)</v>
      </c>
      <c r="M104" s="307"/>
      <c r="N104" s="307"/>
      <c r="O104" s="307"/>
      <c r="P104" s="307"/>
      <c r="R104" s="152"/>
    </row>
    <row r="105" spans="1:18" ht="17.100000000000001" customHeight="1" x14ac:dyDescent="0.2">
      <c r="A105" s="149"/>
      <c r="C105" s="147"/>
      <c r="D105" s="147"/>
      <c r="E105" s="147"/>
      <c r="F105" s="147"/>
      <c r="G105" s="147"/>
      <c r="I105" s="152"/>
      <c r="J105" s="149"/>
      <c r="L105" s="147"/>
      <c r="M105" s="147"/>
      <c r="N105" s="147"/>
      <c r="O105" s="147"/>
      <c r="P105" s="147"/>
      <c r="R105" s="152"/>
    </row>
    <row r="106" spans="1:18" ht="17.100000000000001" customHeight="1" x14ac:dyDescent="0.2">
      <c r="A106" s="149"/>
      <c r="C106" s="147"/>
      <c r="D106" s="147"/>
      <c r="E106" s="147"/>
      <c r="F106" s="147"/>
      <c r="G106" s="147"/>
      <c r="I106" s="152"/>
      <c r="J106" s="149"/>
      <c r="L106" s="147"/>
      <c r="M106" s="147"/>
      <c r="N106" s="147"/>
      <c r="O106" s="147"/>
      <c r="P106" s="147"/>
      <c r="R106" s="152"/>
    </row>
    <row r="107" spans="1:18" ht="17.100000000000001" customHeight="1" x14ac:dyDescent="0.2">
      <c r="A107" s="149"/>
      <c r="I107" s="152"/>
      <c r="J107" s="149"/>
      <c r="R107" s="152"/>
    </row>
    <row r="108" spans="1:18" ht="17.100000000000001" customHeight="1" x14ac:dyDescent="0.2">
      <c r="A108" s="149"/>
      <c r="I108" s="152"/>
      <c r="J108" s="149"/>
      <c r="R108" s="152"/>
    </row>
    <row r="109" spans="1:18" ht="17.100000000000001" customHeight="1" x14ac:dyDescent="0.2">
      <c r="A109" s="308" t="s">
        <v>315</v>
      </c>
      <c r="B109" s="307"/>
      <c r="C109" s="307"/>
      <c r="D109" s="307"/>
      <c r="E109" s="307"/>
      <c r="F109" s="307"/>
      <c r="G109" s="307"/>
      <c r="H109" s="307"/>
      <c r="I109" s="309"/>
      <c r="J109" s="308" t="s">
        <v>315</v>
      </c>
      <c r="K109" s="307"/>
      <c r="L109" s="307"/>
      <c r="M109" s="307"/>
      <c r="N109" s="307"/>
      <c r="O109" s="307"/>
      <c r="P109" s="307"/>
      <c r="Q109" s="307"/>
      <c r="R109" s="309"/>
    </row>
    <row r="110" spans="1:18" ht="17.100000000000001" customHeight="1" x14ac:dyDescent="0.2">
      <c r="A110" s="310" t="s">
        <v>298</v>
      </c>
      <c r="B110" s="311"/>
      <c r="C110" s="311"/>
      <c r="D110" s="311"/>
      <c r="E110" s="311"/>
      <c r="F110" s="311"/>
      <c r="G110" s="311"/>
      <c r="H110" s="311"/>
      <c r="I110" s="312"/>
      <c r="J110" s="310" t="s">
        <v>298</v>
      </c>
      <c r="K110" s="311"/>
      <c r="L110" s="311"/>
      <c r="M110" s="311"/>
      <c r="N110" s="311"/>
      <c r="O110" s="311"/>
      <c r="P110" s="311"/>
      <c r="Q110" s="311"/>
      <c r="R110" s="312"/>
    </row>
    <row r="111" spans="1:18" ht="17.100000000000001" customHeight="1" x14ac:dyDescent="0.2">
      <c r="A111" s="313" t="str">
        <f>รว!J111</f>
        <v>โรงพยาบาลสามโคก  ประจำเดือน  พฤศจิกายน  2568</v>
      </c>
      <c r="B111" s="314"/>
      <c r="C111" s="314"/>
      <c r="D111" s="314"/>
      <c r="E111" s="314"/>
      <c r="F111" s="314"/>
      <c r="G111" s="314"/>
      <c r="H111" s="314"/>
      <c r="I111" s="315"/>
      <c r="J111" s="313" t="str">
        <f>ขร1!A1</f>
        <v>โรงพยาบาลสามโคก  ประจำเดือน  พฤศจิกายน  2568</v>
      </c>
      <c r="K111" s="314"/>
      <c r="L111" s="314"/>
      <c r="M111" s="314"/>
      <c r="N111" s="314"/>
      <c r="O111" s="314"/>
      <c r="P111" s="314"/>
      <c r="Q111" s="314"/>
      <c r="R111" s="315"/>
    </row>
    <row r="112" spans="1:18" ht="17.100000000000001" customHeight="1" x14ac:dyDescent="0.2">
      <c r="A112" s="308" t="s">
        <v>408</v>
      </c>
      <c r="B112" s="307"/>
      <c r="C112" s="307"/>
      <c r="D112" s="307"/>
      <c r="E112" s="307"/>
      <c r="F112" s="307"/>
      <c r="G112" s="307"/>
      <c r="H112" s="307"/>
      <c r="I112" s="309"/>
      <c r="J112" s="308" t="s">
        <v>445</v>
      </c>
      <c r="K112" s="307"/>
      <c r="L112" s="307"/>
      <c r="M112" s="307"/>
      <c r="N112" s="307"/>
      <c r="O112" s="307"/>
      <c r="P112" s="307"/>
      <c r="Q112" s="307"/>
      <c r="R112" s="309"/>
    </row>
    <row r="113" spans="1:18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  <c r="J113" s="149"/>
      <c r="K113" s="153"/>
      <c r="L113" s="150"/>
      <c r="M113" s="147"/>
      <c r="N113" s="147"/>
      <c r="O113" s="147"/>
      <c r="P113" s="150"/>
      <c r="Q113" s="150"/>
      <c r="R113" s="152"/>
    </row>
    <row r="114" spans="1:18" ht="17.100000000000001" customHeight="1" x14ac:dyDescent="0.2">
      <c r="A114" s="149"/>
      <c r="B114" s="307" t="s">
        <v>9</v>
      </c>
      <c r="C114" s="307"/>
      <c r="D114" s="307"/>
      <c r="E114" s="147"/>
      <c r="F114" s="147"/>
      <c r="G114" s="147" t="s">
        <v>10</v>
      </c>
      <c r="H114" s="147"/>
      <c r="I114" s="152"/>
      <c r="J114" s="149"/>
      <c r="K114" s="307" t="s">
        <v>9</v>
      </c>
      <c r="L114" s="307"/>
      <c r="M114" s="307"/>
      <c r="N114" s="147"/>
      <c r="O114" s="147"/>
      <c r="P114" s="147" t="s">
        <v>10</v>
      </c>
      <c r="Q114" s="147"/>
      <c r="R114" s="152"/>
    </row>
    <row r="115" spans="1:18" ht="17.100000000000001" customHeight="1" x14ac:dyDescent="0.2">
      <c r="A115" s="149"/>
      <c r="B115" s="150" t="s">
        <v>3</v>
      </c>
      <c r="C115" s="150"/>
      <c r="D115" s="154">
        <f>รายวัน!E13</f>
        <v>0</v>
      </c>
      <c r="E115" s="154"/>
      <c r="F115" s="155"/>
      <c r="G115" s="150" t="s">
        <v>99</v>
      </c>
      <c r="H115" s="154">
        <f>ข้าราชการ!W144</f>
        <v>0</v>
      </c>
      <c r="I115" s="152"/>
      <c r="J115" s="149"/>
      <c r="K115" s="150" t="s">
        <v>3</v>
      </c>
      <c r="L115" s="150"/>
      <c r="M115" s="154">
        <f>รายวัน!E25</f>
        <v>0</v>
      </c>
      <c r="N115" s="154"/>
      <c r="O115" s="155"/>
      <c r="P115" s="150" t="s">
        <v>99</v>
      </c>
      <c r="Q115" s="154">
        <f>ข้าราชการ!E269</f>
        <v>0</v>
      </c>
      <c r="R115" s="152"/>
    </row>
    <row r="116" spans="1:18" ht="17.100000000000001" customHeight="1" x14ac:dyDescent="0.2">
      <c r="A116" s="149"/>
      <c r="B116" s="150" t="s">
        <v>106</v>
      </c>
      <c r="C116" s="150"/>
      <c r="D116" s="154">
        <v>0</v>
      </c>
      <c r="E116" s="154"/>
      <c r="F116" s="155"/>
      <c r="G116" s="150" t="s">
        <v>116</v>
      </c>
      <c r="H116" s="154">
        <f>รายวัน!O13</f>
        <v>0</v>
      </c>
      <c r="I116" s="152"/>
      <c r="J116" s="149"/>
      <c r="K116" s="150" t="s">
        <v>106</v>
      </c>
      <c r="L116" s="150"/>
      <c r="M116" s="154">
        <v>0</v>
      </c>
      <c r="N116" s="154"/>
      <c r="O116" s="155"/>
      <c r="P116" s="150" t="s">
        <v>116</v>
      </c>
      <c r="Q116" s="154">
        <f>รายวัน!O25</f>
        <v>0</v>
      </c>
      <c r="R116" s="152"/>
    </row>
    <row r="117" spans="1:18" ht="17.100000000000001" customHeight="1" x14ac:dyDescent="0.2">
      <c r="A117" s="149"/>
      <c r="B117" s="306" t="s">
        <v>140</v>
      </c>
      <c r="C117" s="306"/>
      <c r="D117" s="154">
        <v>0</v>
      </c>
      <c r="E117" s="154"/>
      <c r="F117" s="155"/>
      <c r="G117" s="150" t="s">
        <v>54</v>
      </c>
      <c r="H117" s="154">
        <v>0</v>
      </c>
      <c r="I117" s="152"/>
      <c r="J117" s="149"/>
      <c r="K117" s="306" t="s">
        <v>140</v>
      </c>
      <c r="L117" s="306"/>
      <c r="M117" s="154">
        <v>0</v>
      </c>
      <c r="N117" s="154"/>
      <c r="O117" s="155"/>
      <c r="P117" s="150" t="s">
        <v>54</v>
      </c>
      <c r="Q117" s="154">
        <v>0</v>
      </c>
      <c r="R117" s="152"/>
    </row>
    <row r="118" spans="1:18" ht="17.100000000000001" customHeight="1" x14ac:dyDescent="0.2">
      <c r="A118" s="149"/>
      <c r="B118" s="306" t="s">
        <v>130</v>
      </c>
      <c r="C118" s="306"/>
      <c r="D118" s="154">
        <v>0</v>
      </c>
      <c r="E118" s="154"/>
      <c r="F118" s="155"/>
      <c r="G118" s="150" t="s">
        <v>100</v>
      </c>
      <c r="H118" s="154">
        <v>0</v>
      </c>
      <c r="I118" s="152"/>
      <c r="J118" s="149"/>
      <c r="K118" s="306" t="s">
        <v>130</v>
      </c>
      <c r="L118" s="306"/>
      <c r="M118" s="154">
        <f>รายวัน!H25</f>
        <v>0</v>
      </c>
      <c r="N118" s="154"/>
      <c r="O118" s="155"/>
      <c r="P118" s="150" t="s">
        <v>100</v>
      </c>
      <c r="Q118" s="154">
        <v>0</v>
      </c>
      <c r="R118" s="152"/>
    </row>
    <row r="119" spans="1:18" ht="17.100000000000001" customHeight="1" x14ac:dyDescent="0.2">
      <c r="A119" s="149"/>
      <c r="B119" s="306" t="s">
        <v>661</v>
      </c>
      <c r="C119" s="306"/>
      <c r="D119" s="154">
        <f>รายวัน!I13</f>
        <v>0</v>
      </c>
      <c r="E119" s="154"/>
      <c r="F119" s="155"/>
      <c r="G119" s="150" t="s">
        <v>55</v>
      </c>
      <c r="H119" s="156">
        <v>0</v>
      </c>
      <c r="I119" s="152"/>
      <c r="J119" s="149"/>
      <c r="K119" s="306" t="s">
        <v>661</v>
      </c>
      <c r="L119" s="306"/>
      <c r="M119" s="154">
        <f>รายวัน!I25</f>
        <v>0</v>
      </c>
      <c r="N119" s="154"/>
      <c r="O119" s="155"/>
      <c r="P119" s="150" t="s">
        <v>55</v>
      </c>
      <c r="Q119" s="156">
        <v>0</v>
      </c>
      <c r="R119" s="152"/>
    </row>
    <row r="120" spans="1:18" ht="17.100000000000001" customHeight="1" x14ac:dyDescent="0.2">
      <c r="A120" s="149"/>
      <c r="B120" s="306" t="s">
        <v>662</v>
      </c>
      <c r="C120" s="306"/>
      <c r="D120" s="154">
        <f>รายวัน!J13</f>
        <v>0</v>
      </c>
      <c r="E120" s="154"/>
      <c r="F120" s="155"/>
      <c r="G120" s="153" t="s">
        <v>137</v>
      </c>
      <c r="H120" s="156">
        <f>ข้าราชการ!AB144</f>
        <v>0</v>
      </c>
      <c r="I120" s="152"/>
      <c r="J120" s="149"/>
      <c r="K120" s="306" t="s">
        <v>662</v>
      </c>
      <c r="L120" s="306"/>
      <c r="M120" s="154">
        <f>รายวัน!J25</f>
        <v>0</v>
      </c>
      <c r="N120" s="154"/>
      <c r="O120" s="155"/>
      <c r="P120" s="153" t="s">
        <v>377</v>
      </c>
      <c r="Q120" s="156">
        <f>รายวัน!S25</f>
        <v>0</v>
      </c>
      <c r="R120" s="152"/>
    </row>
    <row r="121" spans="1:18" ht="17.100000000000001" customHeight="1" x14ac:dyDescent="0.2">
      <c r="A121" s="149"/>
      <c r="B121" s="306" t="s">
        <v>5</v>
      </c>
      <c r="C121" s="306"/>
      <c r="D121" s="154">
        <f>รายวัน!K13</f>
        <v>0</v>
      </c>
      <c r="E121" s="154"/>
      <c r="F121" s="155"/>
      <c r="G121" s="150" t="s">
        <v>56</v>
      </c>
      <c r="H121" s="156">
        <f>ข้าราชการ!AC144</f>
        <v>0</v>
      </c>
      <c r="I121" s="152"/>
      <c r="J121" s="149"/>
      <c r="K121" s="306" t="s">
        <v>5</v>
      </c>
      <c r="L121" s="306"/>
      <c r="M121" s="154">
        <f>รายวัน!K28</f>
        <v>0</v>
      </c>
      <c r="N121" s="154"/>
      <c r="O121" s="155"/>
      <c r="P121" s="150" t="s">
        <v>56</v>
      </c>
      <c r="Q121" s="156">
        <f>รายวัน!T25</f>
        <v>0</v>
      </c>
      <c r="R121" s="152"/>
    </row>
    <row r="122" spans="1:18" ht="17.100000000000001" customHeight="1" x14ac:dyDescent="0.2">
      <c r="A122" s="149"/>
      <c r="B122" s="150" t="s">
        <v>6</v>
      </c>
      <c r="C122" s="150"/>
      <c r="D122" s="154">
        <v>0</v>
      </c>
      <c r="E122" s="154"/>
      <c r="F122" s="155"/>
      <c r="G122" s="150" t="s">
        <v>57</v>
      </c>
      <c r="H122" s="156">
        <f>ข้าราชการ!AD144</f>
        <v>0</v>
      </c>
      <c r="I122" s="152"/>
      <c r="J122" s="149"/>
      <c r="K122" s="150" t="s">
        <v>6</v>
      </c>
      <c r="L122" s="150"/>
      <c r="M122" s="154">
        <f>ข้าราชการ!C269</f>
        <v>0</v>
      </c>
      <c r="N122" s="154"/>
      <c r="O122" s="155"/>
      <c r="P122" s="150" t="s">
        <v>57</v>
      </c>
      <c r="Q122" s="156">
        <f>รายวัน!U25</f>
        <v>0</v>
      </c>
      <c r="R122" s="152"/>
    </row>
    <row r="123" spans="1:18" ht="17.100000000000001" customHeight="1" x14ac:dyDescent="0.2">
      <c r="A123" s="149"/>
      <c r="B123" s="150" t="s">
        <v>7</v>
      </c>
      <c r="C123" s="150"/>
      <c r="D123" s="154">
        <v>0</v>
      </c>
      <c r="E123" s="154"/>
      <c r="F123" s="155"/>
      <c r="G123" s="150"/>
      <c r="H123" s="154"/>
      <c r="I123" s="152"/>
      <c r="J123" s="149"/>
      <c r="K123" s="150" t="s">
        <v>7</v>
      </c>
      <c r="L123" s="150"/>
      <c r="M123" s="154">
        <v>0</v>
      </c>
      <c r="N123" s="154"/>
      <c r="O123" s="155"/>
      <c r="P123" s="150"/>
      <c r="Q123" s="154"/>
      <c r="R123" s="152"/>
    </row>
    <row r="124" spans="1:18" ht="17.100000000000001" customHeight="1" x14ac:dyDescent="0.2">
      <c r="A124" s="149"/>
      <c r="B124" s="307" t="s">
        <v>101</v>
      </c>
      <c r="C124" s="307"/>
      <c r="D124" s="154">
        <f>SUM(D115:D123)</f>
        <v>0</v>
      </c>
      <c r="E124" s="154"/>
      <c r="F124" s="157"/>
      <c r="G124" s="147" t="s">
        <v>102</v>
      </c>
      <c r="H124" s="157">
        <f>SUM(H115:H123)</f>
        <v>0</v>
      </c>
      <c r="I124" s="152"/>
      <c r="J124" s="149"/>
      <c r="K124" s="307" t="s">
        <v>101</v>
      </c>
      <c r="L124" s="307"/>
      <c r="M124" s="154">
        <f>SUM(M115:M123)</f>
        <v>0</v>
      </c>
      <c r="N124" s="154"/>
      <c r="O124" s="157"/>
      <c r="P124" s="147" t="s">
        <v>102</v>
      </c>
      <c r="Q124" s="157">
        <f>SUM(Q115:Q123)</f>
        <v>0</v>
      </c>
      <c r="R124" s="152"/>
    </row>
    <row r="125" spans="1:18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  <c r="J125" s="149"/>
      <c r="K125" s="150"/>
      <c r="L125" s="147" t="s">
        <v>103</v>
      </c>
      <c r="M125" s="157">
        <f>M124-Q124</f>
        <v>0</v>
      </c>
      <c r="N125" s="157"/>
      <c r="O125" s="158" t="s">
        <v>104</v>
      </c>
      <c r="Q125" s="150"/>
      <c r="R125" s="152"/>
    </row>
    <row r="126" spans="1:18" ht="17.100000000000001" customHeight="1" x14ac:dyDescent="0.2">
      <c r="A126" s="149"/>
      <c r="C126" s="307" t="str">
        <f>"("&amp;BAHTTEXT(D125)&amp;")"</f>
        <v>(ศูนย์บาทถ้วน)</v>
      </c>
      <c r="D126" s="307"/>
      <c r="E126" s="307"/>
      <c r="F126" s="307"/>
      <c r="G126" s="307"/>
      <c r="I126" s="152"/>
      <c r="J126" s="149"/>
      <c r="L126" s="307" t="str">
        <f>"("&amp;BAHTTEXT(M125)&amp;")"</f>
        <v>(ศูนย์บาทถ้วน)</v>
      </c>
      <c r="M126" s="307"/>
      <c r="N126" s="307"/>
      <c r="O126" s="307"/>
      <c r="P126" s="307"/>
      <c r="R126" s="152"/>
    </row>
    <row r="127" spans="1:18" ht="17.100000000000001" customHeight="1" x14ac:dyDescent="0.2">
      <c r="A127" s="149"/>
      <c r="C127" s="147"/>
      <c r="D127" s="147"/>
      <c r="E127" s="147"/>
      <c r="F127" s="147"/>
      <c r="G127" s="147"/>
      <c r="I127" s="152"/>
      <c r="J127" s="149"/>
      <c r="L127" s="147"/>
      <c r="M127" s="147"/>
      <c r="N127" s="147"/>
      <c r="O127" s="147"/>
      <c r="P127" s="147"/>
      <c r="R127" s="152"/>
    </row>
    <row r="128" spans="1:18" ht="17.100000000000001" customHeight="1" x14ac:dyDescent="0.2">
      <c r="A128" s="149"/>
      <c r="C128" s="147"/>
      <c r="D128" s="147"/>
      <c r="E128" s="147"/>
      <c r="F128" s="147"/>
      <c r="G128" s="147"/>
      <c r="I128" s="152"/>
      <c r="J128" s="149"/>
      <c r="L128" s="147"/>
      <c r="M128" s="147"/>
      <c r="N128" s="147"/>
      <c r="O128" s="147"/>
      <c r="P128" s="147"/>
      <c r="R128" s="152"/>
    </row>
    <row r="129" spans="1:18" ht="17.100000000000001" customHeight="1" x14ac:dyDescent="0.2">
      <c r="A129" s="149"/>
      <c r="I129" s="152"/>
      <c r="J129" s="149"/>
      <c r="R129" s="152"/>
    </row>
    <row r="130" spans="1:18" ht="17.100000000000001" customHeight="1" x14ac:dyDescent="0.2">
      <c r="A130" s="149"/>
      <c r="I130" s="152"/>
      <c r="J130" s="149"/>
      <c r="R130" s="152"/>
    </row>
    <row r="131" spans="1:18" ht="17.100000000000001" customHeight="1" x14ac:dyDescent="0.2">
      <c r="A131" s="308" t="s">
        <v>315</v>
      </c>
      <c r="B131" s="307"/>
      <c r="C131" s="307"/>
      <c r="D131" s="307"/>
      <c r="E131" s="307"/>
      <c r="F131" s="307"/>
      <c r="G131" s="307"/>
      <c r="H131" s="307"/>
      <c r="I131" s="309"/>
      <c r="J131" s="308" t="s">
        <v>315</v>
      </c>
      <c r="K131" s="307"/>
      <c r="L131" s="307"/>
      <c r="M131" s="307"/>
      <c r="N131" s="307"/>
      <c r="O131" s="307"/>
      <c r="P131" s="307"/>
      <c r="Q131" s="307"/>
      <c r="R131" s="309"/>
    </row>
    <row r="132" spans="1:18" ht="17.100000000000001" customHeight="1" x14ac:dyDescent="0.2">
      <c r="A132" s="310" t="s">
        <v>298</v>
      </c>
      <c r="B132" s="311"/>
      <c r="C132" s="311"/>
      <c r="D132" s="311"/>
      <c r="E132" s="311"/>
      <c r="F132" s="311"/>
      <c r="G132" s="311"/>
      <c r="H132" s="311"/>
      <c r="I132" s="312"/>
      <c r="J132" s="310" t="s">
        <v>298</v>
      </c>
      <c r="K132" s="311"/>
      <c r="L132" s="311"/>
      <c r="M132" s="311"/>
      <c r="N132" s="311"/>
      <c r="O132" s="311"/>
      <c r="P132" s="311"/>
      <c r="Q132" s="311"/>
      <c r="R132" s="312"/>
    </row>
    <row r="133" spans="1:18" ht="17.100000000000001" customHeight="1" x14ac:dyDescent="0.2">
      <c r="A133" s="313" t="str">
        <f>A111</f>
        <v>โรงพยาบาลสามโคก  ประจำเดือน  พฤศจิกายน  2568</v>
      </c>
      <c r="B133" s="314"/>
      <c r="C133" s="314"/>
      <c r="D133" s="314"/>
      <c r="E133" s="314"/>
      <c r="F133" s="314"/>
      <c r="G133" s="314"/>
      <c r="H133" s="314"/>
      <c r="I133" s="315"/>
      <c r="J133" s="313" t="str">
        <f>J111</f>
        <v>โรงพยาบาลสามโคก  ประจำเดือน  พฤศจิกายน  2568</v>
      </c>
      <c r="K133" s="314"/>
      <c r="L133" s="314"/>
      <c r="M133" s="314"/>
      <c r="N133" s="314"/>
      <c r="O133" s="314"/>
      <c r="P133" s="314"/>
      <c r="Q133" s="314"/>
      <c r="R133" s="315"/>
    </row>
    <row r="134" spans="1:18" ht="17.100000000000001" customHeight="1" x14ac:dyDescent="0.2">
      <c r="A134" s="308" t="s">
        <v>371</v>
      </c>
      <c r="B134" s="307"/>
      <c r="C134" s="307"/>
      <c r="D134" s="307"/>
      <c r="E134" s="307"/>
      <c r="F134" s="307"/>
      <c r="G134" s="307"/>
      <c r="H134" s="307"/>
      <c r="I134" s="309"/>
      <c r="J134" s="308" t="s">
        <v>450</v>
      </c>
      <c r="K134" s="307"/>
      <c r="L134" s="307"/>
      <c r="M134" s="307"/>
      <c r="N134" s="307"/>
      <c r="O134" s="307"/>
      <c r="P134" s="307"/>
      <c r="Q134" s="307"/>
      <c r="R134" s="309"/>
    </row>
    <row r="135" spans="1:18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  <c r="J135" s="149"/>
      <c r="K135" s="153"/>
      <c r="L135" s="150"/>
      <c r="M135" s="147"/>
      <c r="N135" s="147"/>
      <c r="O135" s="147"/>
      <c r="P135" s="150"/>
      <c r="Q135" s="150"/>
      <c r="R135" s="152"/>
    </row>
    <row r="136" spans="1:18" ht="17.100000000000001" customHeight="1" x14ac:dyDescent="0.2">
      <c r="A136" s="149"/>
      <c r="B136" s="307" t="s">
        <v>9</v>
      </c>
      <c r="C136" s="307"/>
      <c r="D136" s="307"/>
      <c r="E136" s="147"/>
      <c r="F136" s="147"/>
      <c r="G136" s="147" t="s">
        <v>10</v>
      </c>
      <c r="H136" s="147"/>
      <c r="I136" s="152"/>
      <c r="J136" s="149"/>
      <c r="K136" s="307" t="s">
        <v>9</v>
      </c>
      <c r="L136" s="307"/>
      <c r="M136" s="307"/>
      <c r="N136" s="147"/>
      <c r="O136" s="147"/>
      <c r="P136" s="147" t="s">
        <v>10</v>
      </c>
      <c r="Q136" s="147"/>
      <c r="R136" s="152"/>
    </row>
    <row r="137" spans="1:18" ht="17.100000000000001" customHeight="1" x14ac:dyDescent="0.2">
      <c r="A137" s="149"/>
      <c r="B137" s="150" t="s">
        <v>3</v>
      </c>
      <c r="C137" s="150"/>
      <c r="D137" s="154">
        <f>รายวัน!E14</f>
        <v>0</v>
      </c>
      <c r="E137" s="154"/>
      <c r="F137" s="155"/>
      <c r="G137" s="150" t="s">
        <v>99</v>
      </c>
      <c r="H137" s="154">
        <f>ข้าราชการ!AF10</f>
        <v>0</v>
      </c>
      <c r="I137" s="152"/>
      <c r="J137" s="149"/>
      <c r="K137" s="150" t="s">
        <v>3</v>
      </c>
      <c r="L137" s="150"/>
      <c r="M137" s="154">
        <f>รายวัน!E28</f>
        <v>0</v>
      </c>
      <c r="N137" s="154"/>
      <c r="O137" s="155"/>
      <c r="P137" s="150" t="s">
        <v>99</v>
      </c>
      <c r="Q137" s="154">
        <f>ข้าราชการ!E291</f>
        <v>0</v>
      </c>
      <c r="R137" s="152"/>
    </row>
    <row r="138" spans="1:18" ht="17.100000000000001" customHeight="1" x14ac:dyDescent="0.2">
      <c r="A138" s="149"/>
      <c r="B138" s="150" t="s">
        <v>106</v>
      </c>
      <c r="C138" s="150"/>
      <c r="D138" s="154">
        <v>0</v>
      </c>
      <c r="E138" s="154"/>
      <c r="F138" s="155"/>
      <c r="G138" s="150" t="s">
        <v>116</v>
      </c>
      <c r="H138" s="154">
        <f>รายวัน!O14</f>
        <v>0</v>
      </c>
      <c r="I138" s="152"/>
      <c r="J138" s="149"/>
      <c r="K138" s="150" t="s">
        <v>106</v>
      </c>
      <c r="L138" s="150"/>
      <c r="M138" s="154">
        <v>0</v>
      </c>
      <c r="N138" s="154"/>
      <c r="O138" s="155"/>
      <c r="P138" s="150" t="s">
        <v>116</v>
      </c>
      <c r="Q138" s="154">
        <f>รายวัน!O28</f>
        <v>0</v>
      </c>
      <c r="R138" s="152"/>
    </row>
    <row r="139" spans="1:18" ht="17.100000000000001" customHeight="1" x14ac:dyDescent="0.2">
      <c r="A139" s="149"/>
      <c r="B139" s="306" t="s">
        <v>140</v>
      </c>
      <c r="C139" s="306"/>
      <c r="D139" s="154">
        <v>0</v>
      </c>
      <c r="E139" s="154"/>
      <c r="F139" s="155"/>
      <c r="G139" s="150" t="s">
        <v>54</v>
      </c>
      <c r="H139" s="154">
        <v>0</v>
      </c>
      <c r="I139" s="152"/>
      <c r="J139" s="149"/>
      <c r="K139" s="306" t="s">
        <v>140</v>
      </c>
      <c r="L139" s="306"/>
      <c r="M139" s="154">
        <v>0</v>
      </c>
      <c r="N139" s="154"/>
      <c r="O139" s="155"/>
      <c r="P139" s="150" t="s">
        <v>54</v>
      </c>
      <c r="Q139" s="154">
        <v>0</v>
      </c>
      <c r="R139" s="152"/>
    </row>
    <row r="140" spans="1:18" ht="17.100000000000001" customHeight="1" x14ac:dyDescent="0.2">
      <c r="A140" s="149"/>
      <c r="B140" s="306" t="s">
        <v>130</v>
      </c>
      <c r="C140" s="306"/>
      <c r="D140" s="154">
        <v>0</v>
      </c>
      <c r="E140" s="154"/>
      <c r="F140" s="155"/>
      <c r="G140" s="150" t="s">
        <v>100</v>
      </c>
      <c r="H140" s="154">
        <v>0</v>
      </c>
      <c r="I140" s="152"/>
      <c r="J140" s="149"/>
      <c r="K140" s="306" t="s">
        <v>130</v>
      </c>
      <c r="L140" s="306"/>
      <c r="M140" s="154">
        <v>0</v>
      </c>
      <c r="N140" s="154"/>
      <c r="O140" s="155"/>
      <c r="P140" s="150" t="s">
        <v>100</v>
      </c>
      <c r="Q140" s="154">
        <v>0</v>
      </c>
      <c r="R140" s="152"/>
    </row>
    <row r="141" spans="1:18" ht="17.100000000000001" customHeight="1" x14ac:dyDescent="0.2">
      <c r="A141" s="149"/>
      <c r="B141" s="306" t="s">
        <v>661</v>
      </c>
      <c r="C141" s="306"/>
      <c r="D141" s="154">
        <f>รายวัน!I14</f>
        <v>0</v>
      </c>
      <c r="E141" s="154"/>
      <c r="F141" s="155"/>
      <c r="G141" s="150" t="s">
        <v>55</v>
      </c>
      <c r="H141" s="156">
        <v>0</v>
      </c>
      <c r="I141" s="152"/>
      <c r="J141" s="149"/>
      <c r="K141" s="306" t="s">
        <v>661</v>
      </c>
      <c r="L141" s="306"/>
      <c r="M141" s="154">
        <f>รายวัน!I28</f>
        <v>0</v>
      </c>
      <c r="N141" s="154"/>
      <c r="O141" s="155"/>
      <c r="P141" s="153" t="s">
        <v>377</v>
      </c>
      <c r="Q141" s="156">
        <f>รายวัน!S28</f>
        <v>0</v>
      </c>
      <c r="R141" s="152"/>
    </row>
    <row r="142" spans="1:18" ht="17.100000000000001" customHeight="1" x14ac:dyDescent="0.2">
      <c r="A142" s="149"/>
      <c r="B142" s="306" t="s">
        <v>119</v>
      </c>
      <c r="C142" s="306"/>
      <c r="D142" s="154">
        <f>รายวัน!J14</f>
        <v>0</v>
      </c>
      <c r="E142" s="154"/>
      <c r="F142" s="155"/>
      <c r="G142" s="153" t="s">
        <v>137</v>
      </c>
      <c r="H142" s="156">
        <f>ข้าราชการ!AK10</f>
        <v>0</v>
      </c>
      <c r="I142" s="152"/>
      <c r="J142" s="149"/>
      <c r="K142" s="306" t="s">
        <v>662</v>
      </c>
      <c r="L142" s="306"/>
      <c r="M142" s="154">
        <f>รายวัน!J28</f>
        <v>0</v>
      </c>
      <c r="N142" s="154"/>
      <c r="O142" s="155"/>
      <c r="P142" s="153" t="s">
        <v>137</v>
      </c>
      <c r="Q142" s="156">
        <f>ข้าราชการ!J291</f>
        <v>0</v>
      </c>
      <c r="R142" s="152"/>
    </row>
    <row r="143" spans="1:18" ht="17.100000000000001" customHeight="1" x14ac:dyDescent="0.2">
      <c r="A143" s="149"/>
      <c r="B143" s="306" t="s">
        <v>5</v>
      </c>
      <c r="C143" s="306"/>
      <c r="D143" s="154">
        <f>รายวัน!K14</f>
        <v>0</v>
      </c>
      <c r="E143" s="154"/>
      <c r="F143" s="155"/>
      <c r="G143" s="150" t="s">
        <v>56</v>
      </c>
      <c r="H143" s="156">
        <f>ข้าราชการ!AL10</f>
        <v>0</v>
      </c>
      <c r="I143" s="152"/>
      <c r="J143" s="149"/>
      <c r="K143" s="306" t="s">
        <v>5</v>
      </c>
      <c r="L143" s="306"/>
      <c r="M143" s="154">
        <f>รายวัน!K29</f>
        <v>0</v>
      </c>
      <c r="N143" s="154"/>
      <c r="O143" s="155"/>
      <c r="P143" s="150" t="s">
        <v>56</v>
      </c>
      <c r="Q143" s="156">
        <f>รายวัน!T28</f>
        <v>0</v>
      </c>
      <c r="R143" s="152"/>
    </row>
    <row r="144" spans="1:18" ht="17.100000000000001" customHeight="1" x14ac:dyDescent="0.2">
      <c r="A144" s="149"/>
      <c r="B144" s="150" t="s">
        <v>6</v>
      </c>
      <c r="C144" s="150"/>
      <c r="D144" s="154">
        <v>0</v>
      </c>
      <c r="E144" s="154"/>
      <c r="F144" s="155"/>
      <c r="G144" s="150" t="s">
        <v>57</v>
      </c>
      <c r="H144" s="156">
        <f>ข้าราชการ!AM10</f>
        <v>0</v>
      </c>
      <c r="I144" s="152"/>
      <c r="J144" s="149"/>
      <c r="K144" s="150" t="s">
        <v>6</v>
      </c>
      <c r="L144" s="150"/>
      <c r="M144" s="154">
        <f>ข้าราชการ!C291</f>
        <v>0</v>
      </c>
      <c r="N144" s="154"/>
      <c r="O144" s="155"/>
      <c r="P144" s="150" t="s">
        <v>57</v>
      </c>
      <c r="Q144" s="156">
        <f>รายวัน!U28</f>
        <v>0</v>
      </c>
      <c r="R144" s="152"/>
    </row>
    <row r="145" spans="1:18" ht="17.100000000000001" customHeight="1" x14ac:dyDescent="0.2">
      <c r="A145" s="149"/>
      <c r="B145" s="150" t="s">
        <v>7</v>
      </c>
      <c r="C145" s="150"/>
      <c r="D145" s="154">
        <v>0</v>
      </c>
      <c r="E145" s="154"/>
      <c r="F145" s="155"/>
      <c r="G145" s="150"/>
      <c r="H145" s="154"/>
      <c r="I145" s="152"/>
      <c r="J145" s="149"/>
      <c r="K145" s="150" t="s">
        <v>7</v>
      </c>
      <c r="L145" s="150"/>
      <c r="M145" s="154">
        <v>0</v>
      </c>
      <c r="N145" s="154"/>
      <c r="O145" s="155"/>
      <c r="P145" s="150"/>
      <c r="Q145" s="154"/>
      <c r="R145" s="152"/>
    </row>
    <row r="146" spans="1:18" ht="17.100000000000001" customHeight="1" x14ac:dyDescent="0.2">
      <c r="A146" s="149"/>
      <c r="B146" s="307" t="s">
        <v>101</v>
      </c>
      <c r="C146" s="307"/>
      <c r="D146" s="154">
        <f>SUM(D137:D145)</f>
        <v>0</v>
      </c>
      <c r="E146" s="154"/>
      <c r="F146" s="157"/>
      <c r="G146" s="147" t="s">
        <v>102</v>
      </c>
      <c r="H146" s="157">
        <f>SUM(H137:H145)</f>
        <v>0</v>
      </c>
      <c r="I146" s="152"/>
      <c r="J146" s="149"/>
      <c r="K146" s="307" t="s">
        <v>101</v>
      </c>
      <c r="L146" s="307"/>
      <c r="M146" s="154">
        <f>SUM(M137:M145)</f>
        <v>0</v>
      </c>
      <c r="N146" s="154"/>
      <c r="O146" s="157"/>
      <c r="P146" s="147" t="s">
        <v>102</v>
      </c>
      <c r="Q146" s="157">
        <f>SUM(Q137:Q145)</f>
        <v>0</v>
      </c>
      <c r="R146" s="152"/>
    </row>
    <row r="147" spans="1:18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  <c r="J147" s="149"/>
      <c r="K147" s="150"/>
      <c r="L147" s="147" t="s">
        <v>103</v>
      </c>
      <c r="M147" s="157">
        <f>M146-Q146</f>
        <v>0</v>
      </c>
      <c r="N147" s="157"/>
      <c r="O147" s="158" t="s">
        <v>104</v>
      </c>
      <c r="Q147" s="150"/>
      <c r="R147" s="152"/>
    </row>
    <row r="148" spans="1:18" ht="17.100000000000001" customHeight="1" x14ac:dyDescent="0.2">
      <c r="A148" s="149"/>
      <c r="C148" s="307" t="str">
        <f>"("&amp;BAHTTEXT(D147)&amp;")"</f>
        <v>(ศูนย์บาทถ้วน)</v>
      </c>
      <c r="D148" s="307"/>
      <c r="E148" s="307"/>
      <c r="F148" s="307"/>
      <c r="G148" s="307"/>
      <c r="I148" s="152"/>
      <c r="J148" s="149"/>
      <c r="L148" s="307" t="str">
        <f>"("&amp;BAHTTEXT(M147)&amp;")"</f>
        <v>(ศูนย์บาทถ้วน)</v>
      </c>
      <c r="M148" s="307"/>
      <c r="N148" s="307"/>
      <c r="O148" s="307"/>
      <c r="P148" s="307"/>
      <c r="R148" s="152"/>
    </row>
    <row r="149" spans="1:18" ht="17.100000000000001" customHeight="1" x14ac:dyDescent="0.2">
      <c r="A149" s="149"/>
      <c r="C149" s="147"/>
      <c r="D149" s="147"/>
      <c r="E149" s="147"/>
      <c r="F149" s="147"/>
      <c r="G149" s="147"/>
      <c r="I149" s="152"/>
      <c r="J149" s="149"/>
      <c r="L149" s="147"/>
      <c r="M149" s="147"/>
      <c r="N149" s="147"/>
      <c r="O149" s="147"/>
      <c r="P149" s="147"/>
      <c r="R149" s="152"/>
    </row>
    <row r="150" spans="1:18" ht="17.100000000000001" customHeight="1" x14ac:dyDescent="0.2">
      <c r="A150" s="149"/>
      <c r="C150" s="147"/>
      <c r="D150" s="147"/>
      <c r="E150" s="147"/>
      <c r="F150" s="147"/>
      <c r="G150" s="147"/>
      <c r="I150" s="152"/>
      <c r="J150" s="149"/>
      <c r="L150" s="147"/>
      <c r="M150" s="147"/>
      <c r="N150" s="147"/>
      <c r="O150" s="147"/>
      <c r="P150" s="147"/>
      <c r="R150" s="152"/>
    </row>
    <row r="151" spans="1:18" ht="17.100000000000001" customHeight="1" x14ac:dyDescent="0.2">
      <c r="A151" s="149"/>
      <c r="I151" s="152"/>
      <c r="J151" s="149"/>
      <c r="R151" s="152"/>
    </row>
    <row r="152" spans="1:18" ht="17.100000000000001" customHeight="1" x14ac:dyDescent="0.2">
      <c r="A152" s="149"/>
      <c r="I152" s="152"/>
      <c r="J152" s="149"/>
      <c r="R152" s="152"/>
    </row>
    <row r="153" spans="1:18" ht="17.100000000000001" customHeight="1" x14ac:dyDescent="0.2">
      <c r="A153" s="308" t="s">
        <v>315</v>
      </c>
      <c r="B153" s="307"/>
      <c r="C153" s="307"/>
      <c r="D153" s="307"/>
      <c r="E153" s="307"/>
      <c r="F153" s="307"/>
      <c r="G153" s="307"/>
      <c r="H153" s="307"/>
      <c r="I153" s="309"/>
      <c r="J153" s="308" t="s">
        <v>315</v>
      </c>
      <c r="K153" s="307"/>
      <c r="L153" s="307"/>
      <c r="M153" s="307"/>
      <c r="N153" s="307"/>
      <c r="O153" s="307"/>
      <c r="P153" s="307"/>
      <c r="Q153" s="307"/>
      <c r="R153" s="309"/>
    </row>
    <row r="154" spans="1:18" ht="17.100000000000001" customHeight="1" x14ac:dyDescent="0.2">
      <c r="A154" s="310" t="s">
        <v>298</v>
      </c>
      <c r="B154" s="311"/>
      <c r="C154" s="311"/>
      <c r="D154" s="311"/>
      <c r="E154" s="311"/>
      <c r="F154" s="311"/>
      <c r="G154" s="311"/>
      <c r="H154" s="311"/>
      <c r="I154" s="312"/>
      <c r="J154" s="310" t="s">
        <v>298</v>
      </c>
      <c r="K154" s="311"/>
      <c r="L154" s="311"/>
      <c r="M154" s="311"/>
      <c r="N154" s="311"/>
      <c r="O154" s="311"/>
      <c r="P154" s="311"/>
      <c r="Q154" s="311"/>
      <c r="R154" s="312"/>
    </row>
    <row r="155" spans="1:18" ht="17.100000000000001" customHeight="1" x14ac:dyDescent="0.2">
      <c r="A155" s="313" t="str">
        <f>A133</f>
        <v>โรงพยาบาลสามโคก  ประจำเดือน  พฤศจิกายน  2568</v>
      </c>
      <c r="B155" s="314"/>
      <c r="C155" s="314"/>
      <c r="D155" s="314"/>
      <c r="E155" s="314"/>
      <c r="F155" s="314"/>
      <c r="G155" s="314"/>
      <c r="H155" s="314"/>
      <c r="I155" s="315"/>
      <c r="J155" s="313" t="str">
        <f>รว!J133</f>
        <v>โรงพยาบาลสามโคก  ประจำเดือน  พฤศจิกายน  2568</v>
      </c>
      <c r="K155" s="314"/>
      <c r="L155" s="314"/>
      <c r="M155" s="314"/>
      <c r="N155" s="314"/>
      <c r="O155" s="314"/>
      <c r="P155" s="314"/>
      <c r="Q155" s="314"/>
      <c r="R155" s="315"/>
    </row>
    <row r="156" spans="1:18" ht="17.100000000000001" customHeight="1" x14ac:dyDescent="0.2">
      <c r="A156" s="308" t="s">
        <v>374</v>
      </c>
      <c r="B156" s="307"/>
      <c r="C156" s="307"/>
      <c r="D156" s="307"/>
      <c r="E156" s="307"/>
      <c r="F156" s="307"/>
      <c r="G156" s="307"/>
      <c r="H156" s="307"/>
      <c r="I156" s="309"/>
      <c r="J156" s="308" t="s">
        <v>458</v>
      </c>
      <c r="K156" s="307"/>
      <c r="L156" s="307"/>
      <c r="M156" s="307"/>
      <c r="N156" s="307"/>
      <c r="O156" s="307"/>
      <c r="P156" s="307"/>
      <c r="Q156" s="307"/>
      <c r="R156" s="309"/>
    </row>
    <row r="157" spans="1:18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  <c r="J157" s="149"/>
      <c r="K157" s="153"/>
      <c r="L157" s="150"/>
      <c r="M157" s="147"/>
      <c r="N157" s="147"/>
      <c r="O157" s="147"/>
      <c r="P157" s="150"/>
      <c r="Q157" s="150"/>
      <c r="R157" s="152"/>
    </row>
    <row r="158" spans="1:18" ht="17.100000000000001" customHeight="1" x14ac:dyDescent="0.2">
      <c r="A158" s="149"/>
      <c r="B158" s="307" t="s">
        <v>9</v>
      </c>
      <c r="C158" s="307"/>
      <c r="D158" s="307"/>
      <c r="E158" s="147"/>
      <c r="F158" s="147"/>
      <c r="G158" s="147" t="s">
        <v>10</v>
      </c>
      <c r="H158" s="147"/>
      <c r="I158" s="152"/>
      <c r="J158" s="149"/>
      <c r="K158" s="307" t="s">
        <v>9</v>
      </c>
      <c r="L158" s="307"/>
      <c r="M158" s="307"/>
      <c r="N158" s="147"/>
      <c r="O158" s="147"/>
      <c r="P158" s="147" t="s">
        <v>10</v>
      </c>
      <c r="Q158" s="147"/>
      <c r="R158" s="152"/>
    </row>
    <row r="159" spans="1:18" ht="17.100000000000001" customHeight="1" x14ac:dyDescent="0.2">
      <c r="A159" s="149"/>
      <c r="B159" s="150" t="s">
        <v>3</v>
      </c>
      <c r="C159" s="150"/>
      <c r="D159" s="154">
        <f>รายวัน!E15</f>
        <v>0</v>
      </c>
      <c r="E159" s="154"/>
      <c r="F159" s="155"/>
      <c r="G159" s="150" t="s">
        <v>99</v>
      </c>
      <c r="H159" s="154">
        <v>0</v>
      </c>
      <c r="I159" s="152"/>
      <c r="J159" s="149"/>
      <c r="K159" s="150" t="s">
        <v>3</v>
      </c>
      <c r="L159" s="150"/>
      <c r="M159" s="154">
        <f>รายวัน!E29</f>
        <v>0</v>
      </c>
      <c r="N159" s="154"/>
      <c r="O159" s="155"/>
      <c r="P159" s="150" t="s">
        <v>99</v>
      </c>
      <c r="Q159" s="154">
        <f>ข้าราชการ!E313</f>
        <v>0</v>
      </c>
      <c r="R159" s="152"/>
    </row>
    <row r="160" spans="1:18" ht="17.100000000000001" customHeight="1" x14ac:dyDescent="0.2">
      <c r="A160" s="149"/>
      <c r="B160" s="150" t="s">
        <v>106</v>
      </c>
      <c r="C160" s="150"/>
      <c r="D160" s="154">
        <v>0</v>
      </c>
      <c r="E160" s="154"/>
      <c r="F160" s="155"/>
      <c r="G160" s="150" t="s">
        <v>116</v>
      </c>
      <c r="H160" s="154">
        <f>รายวัน!O15</f>
        <v>0</v>
      </c>
      <c r="I160" s="152"/>
      <c r="J160" s="149"/>
      <c r="K160" s="150" t="s">
        <v>106</v>
      </c>
      <c r="L160" s="150"/>
      <c r="M160" s="154">
        <v>0</v>
      </c>
      <c r="N160" s="154"/>
      <c r="O160" s="155"/>
      <c r="P160" s="150" t="s">
        <v>116</v>
      </c>
      <c r="Q160" s="154">
        <f>รายวัน!O29</f>
        <v>0</v>
      </c>
      <c r="R160" s="152"/>
    </row>
    <row r="161" spans="1:18" ht="17.100000000000001" customHeight="1" x14ac:dyDescent="0.2">
      <c r="A161" s="149"/>
      <c r="B161" s="306" t="s">
        <v>140</v>
      </c>
      <c r="C161" s="306"/>
      <c r="D161" s="154">
        <v>0</v>
      </c>
      <c r="E161" s="154"/>
      <c r="F161" s="155"/>
      <c r="G161" s="150" t="s">
        <v>54</v>
      </c>
      <c r="H161" s="154">
        <v>0</v>
      </c>
      <c r="I161" s="152"/>
      <c r="J161" s="149"/>
      <c r="K161" s="306" t="s">
        <v>140</v>
      </c>
      <c r="L161" s="306"/>
      <c r="M161" s="154">
        <v>0</v>
      </c>
      <c r="N161" s="154"/>
      <c r="O161" s="155"/>
      <c r="P161" s="150" t="s">
        <v>54</v>
      </c>
      <c r="Q161" s="154">
        <v>0</v>
      </c>
      <c r="R161" s="152"/>
    </row>
    <row r="162" spans="1:18" ht="17.100000000000001" customHeight="1" x14ac:dyDescent="0.2">
      <c r="A162" s="149"/>
      <c r="B162" s="306" t="s">
        <v>130</v>
      </c>
      <c r="C162" s="306"/>
      <c r="D162" s="154">
        <v>0</v>
      </c>
      <c r="E162" s="154"/>
      <c r="F162" s="155"/>
      <c r="G162" s="150" t="s">
        <v>100</v>
      </c>
      <c r="H162" s="154">
        <v>0</v>
      </c>
      <c r="I162" s="152"/>
      <c r="J162" s="149"/>
      <c r="K162" s="306" t="s">
        <v>105</v>
      </c>
      <c r="L162" s="306"/>
      <c r="M162" s="154">
        <f>รายวัน!H29</f>
        <v>0</v>
      </c>
      <c r="N162" s="154"/>
      <c r="O162" s="155"/>
      <c r="P162" s="150" t="s">
        <v>100</v>
      </c>
      <c r="Q162" s="154">
        <v>0</v>
      </c>
      <c r="R162" s="152"/>
    </row>
    <row r="163" spans="1:18" ht="17.100000000000001" customHeight="1" x14ac:dyDescent="0.2">
      <c r="A163" s="149"/>
      <c r="B163" s="306" t="s">
        <v>661</v>
      </c>
      <c r="C163" s="306"/>
      <c r="D163" s="154">
        <f>รายวัน!I15</f>
        <v>0</v>
      </c>
      <c r="E163" s="154"/>
      <c r="F163" s="155"/>
      <c r="G163" s="150" t="s">
        <v>55</v>
      </c>
      <c r="H163" s="156">
        <v>0</v>
      </c>
      <c r="I163" s="152"/>
      <c r="J163" s="149"/>
      <c r="K163" s="306" t="s">
        <v>661</v>
      </c>
      <c r="L163" s="306"/>
      <c r="M163" s="154">
        <f>รายวัน!I29</f>
        <v>0</v>
      </c>
      <c r="N163" s="154"/>
      <c r="O163" s="155"/>
      <c r="P163" s="150" t="s">
        <v>55</v>
      </c>
      <c r="Q163" s="156">
        <v>0</v>
      </c>
      <c r="R163" s="152"/>
    </row>
    <row r="164" spans="1:18" ht="17.100000000000001" customHeight="1" x14ac:dyDescent="0.2">
      <c r="A164" s="149"/>
      <c r="B164" s="306" t="s">
        <v>662</v>
      </c>
      <c r="C164" s="306"/>
      <c r="D164" s="154">
        <f>รายวัน!J15</f>
        <v>0</v>
      </c>
      <c r="E164" s="154"/>
      <c r="F164" s="155"/>
      <c r="G164" s="153" t="s">
        <v>137</v>
      </c>
      <c r="H164" s="156">
        <v>0</v>
      </c>
      <c r="I164" s="152"/>
      <c r="J164" s="149"/>
      <c r="K164" s="306" t="s">
        <v>662</v>
      </c>
      <c r="L164" s="306"/>
      <c r="M164" s="154">
        <f>รายวัน!J29</f>
        <v>0</v>
      </c>
      <c r="N164" s="154"/>
      <c r="O164" s="155"/>
      <c r="P164" s="153" t="s">
        <v>377</v>
      </c>
      <c r="Q164" s="156">
        <f>รายวัน!S29</f>
        <v>0</v>
      </c>
      <c r="R164" s="152"/>
    </row>
    <row r="165" spans="1:18" ht="17.100000000000001" customHeight="1" x14ac:dyDescent="0.2">
      <c r="A165" s="149"/>
      <c r="B165" s="306" t="s">
        <v>5</v>
      </c>
      <c r="C165" s="306"/>
      <c r="D165" s="154">
        <v>0</v>
      </c>
      <c r="E165" s="154"/>
      <c r="F165" s="155"/>
      <c r="G165" s="150" t="s">
        <v>56</v>
      </c>
      <c r="H165" s="156">
        <v>0</v>
      </c>
      <c r="I165" s="152"/>
      <c r="J165" s="149"/>
      <c r="K165" s="306" t="s">
        <v>5</v>
      </c>
      <c r="L165" s="306"/>
      <c r="M165" s="154">
        <f>รายวัน!K30</f>
        <v>0</v>
      </c>
      <c r="N165" s="154"/>
      <c r="O165" s="155"/>
      <c r="P165" s="150" t="s">
        <v>56</v>
      </c>
      <c r="Q165" s="156">
        <f>รายวัน!T29</f>
        <v>0</v>
      </c>
      <c r="R165" s="152"/>
    </row>
    <row r="166" spans="1:18" ht="17.100000000000001" customHeight="1" x14ac:dyDescent="0.2">
      <c r="A166" s="149"/>
      <c r="B166" s="150" t="s">
        <v>6</v>
      </c>
      <c r="C166" s="150"/>
      <c r="D166" s="154">
        <v>0</v>
      </c>
      <c r="E166" s="154"/>
      <c r="F166" s="155"/>
      <c r="G166" s="150" t="s">
        <v>57</v>
      </c>
      <c r="H166" s="156">
        <v>0</v>
      </c>
      <c r="I166" s="152"/>
      <c r="J166" s="149"/>
      <c r="K166" s="150" t="s">
        <v>6</v>
      </c>
      <c r="L166" s="150"/>
      <c r="M166" s="154">
        <f>ข้าราชการ!C313</f>
        <v>0</v>
      </c>
      <c r="N166" s="154"/>
      <c r="O166" s="155"/>
      <c r="P166" s="150" t="s">
        <v>57</v>
      </c>
      <c r="Q166" s="156">
        <f>รายวัน!U29</f>
        <v>0</v>
      </c>
      <c r="R166" s="152"/>
    </row>
    <row r="167" spans="1:18" ht="17.100000000000001" customHeight="1" x14ac:dyDescent="0.2">
      <c r="A167" s="149"/>
      <c r="B167" s="150" t="s">
        <v>7</v>
      </c>
      <c r="C167" s="150"/>
      <c r="D167" s="154">
        <v>0</v>
      </c>
      <c r="E167" s="154"/>
      <c r="F167" s="155"/>
      <c r="G167" s="150"/>
      <c r="H167" s="154"/>
      <c r="I167" s="152"/>
      <c r="J167" s="149"/>
      <c r="K167" s="150" t="s">
        <v>7</v>
      </c>
      <c r="L167" s="150"/>
      <c r="M167" s="154">
        <v>0</v>
      </c>
      <c r="N167" s="154"/>
      <c r="O167" s="155"/>
      <c r="P167" s="150"/>
      <c r="Q167" s="154"/>
      <c r="R167" s="152"/>
    </row>
    <row r="168" spans="1:18" ht="17.100000000000001" customHeight="1" x14ac:dyDescent="0.2">
      <c r="A168" s="149"/>
      <c r="B168" s="307" t="s">
        <v>101</v>
      </c>
      <c r="C168" s="307"/>
      <c r="D168" s="154">
        <f>SUM(D159:D167)</f>
        <v>0</v>
      </c>
      <c r="E168" s="154"/>
      <c r="F168" s="157"/>
      <c r="G168" s="147" t="s">
        <v>102</v>
      </c>
      <c r="H168" s="157">
        <f>SUM(H159:H167)</f>
        <v>0</v>
      </c>
      <c r="I168" s="152"/>
      <c r="J168" s="149"/>
      <c r="K168" s="307" t="s">
        <v>101</v>
      </c>
      <c r="L168" s="307"/>
      <c r="M168" s="154">
        <f>SUM(M159:M167)</f>
        <v>0</v>
      </c>
      <c r="N168" s="154"/>
      <c r="O168" s="157"/>
      <c r="P168" s="147" t="s">
        <v>102</v>
      </c>
      <c r="Q168" s="157">
        <f>SUM(Q159:Q167)</f>
        <v>0</v>
      </c>
      <c r="R168" s="152"/>
    </row>
    <row r="169" spans="1:18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  <c r="J169" s="149"/>
      <c r="K169" s="150"/>
      <c r="L169" s="147" t="s">
        <v>103</v>
      </c>
      <c r="M169" s="157">
        <f>M168-Q168</f>
        <v>0</v>
      </c>
      <c r="N169" s="157"/>
      <c r="O169" s="158" t="s">
        <v>104</v>
      </c>
      <c r="Q169" s="150"/>
      <c r="R169" s="152"/>
    </row>
    <row r="170" spans="1:18" ht="17.100000000000001" customHeight="1" x14ac:dyDescent="0.2">
      <c r="A170" s="149"/>
      <c r="C170" s="307" t="str">
        <f>"("&amp;BAHTTEXT(D169)&amp;")"</f>
        <v>(ศูนย์บาทถ้วน)</v>
      </c>
      <c r="D170" s="307"/>
      <c r="E170" s="307"/>
      <c r="F170" s="307"/>
      <c r="G170" s="307"/>
      <c r="I170" s="152"/>
      <c r="J170" s="149"/>
      <c r="L170" s="307" t="str">
        <f>"("&amp;BAHTTEXT(M169)&amp;")"</f>
        <v>(ศูนย์บาทถ้วน)</v>
      </c>
      <c r="M170" s="307"/>
      <c r="N170" s="307"/>
      <c r="O170" s="307"/>
      <c r="P170" s="307"/>
      <c r="R170" s="152"/>
    </row>
    <row r="171" spans="1:18" ht="17.100000000000001" customHeight="1" x14ac:dyDescent="0.2">
      <c r="A171" s="149"/>
      <c r="C171" s="147"/>
      <c r="D171" s="147"/>
      <c r="E171" s="147"/>
      <c r="F171" s="147"/>
      <c r="G171" s="147"/>
      <c r="I171" s="152"/>
      <c r="J171" s="149"/>
      <c r="L171" s="147"/>
      <c r="M171" s="147"/>
      <c r="N171" s="147"/>
      <c r="O171" s="147"/>
      <c r="P171" s="147"/>
      <c r="R171" s="152"/>
    </row>
    <row r="172" spans="1:18" ht="17.100000000000001" customHeight="1" x14ac:dyDescent="0.2">
      <c r="A172" s="149"/>
      <c r="C172" s="147"/>
      <c r="D172" s="147"/>
      <c r="E172" s="147"/>
      <c r="F172" s="147"/>
      <c r="G172" s="147"/>
      <c r="I172" s="152"/>
      <c r="J172" s="149"/>
      <c r="L172" s="147"/>
      <c r="M172" s="147"/>
      <c r="N172" s="147"/>
      <c r="O172" s="147"/>
      <c r="P172" s="147"/>
      <c r="R172" s="152"/>
    </row>
    <row r="173" spans="1:18" ht="17.100000000000001" customHeight="1" x14ac:dyDescent="0.2">
      <c r="A173" s="149"/>
      <c r="I173" s="152"/>
      <c r="J173" s="149"/>
      <c r="R173" s="152"/>
    </row>
    <row r="174" spans="1:18" ht="17.100000000000001" customHeight="1" x14ac:dyDescent="0.2">
      <c r="A174" s="149"/>
      <c r="I174" s="152"/>
      <c r="J174" s="149"/>
      <c r="R174" s="152"/>
    </row>
    <row r="175" spans="1:18" ht="17.100000000000001" customHeight="1" x14ac:dyDescent="0.2">
      <c r="A175" s="308" t="s">
        <v>315</v>
      </c>
      <c r="B175" s="307"/>
      <c r="C175" s="307"/>
      <c r="D175" s="307"/>
      <c r="E175" s="307"/>
      <c r="F175" s="307"/>
      <c r="G175" s="307"/>
      <c r="H175" s="307"/>
      <c r="I175" s="309"/>
      <c r="J175" s="308" t="s">
        <v>315</v>
      </c>
      <c r="K175" s="307"/>
      <c r="L175" s="307"/>
      <c r="M175" s="307"/>
      <c r="N175" s="307"/>
      <c r="O175" s="307"/>
      <c r="P175" s="307"/>
      <c r="Q175" s="307"/>
      <c r="R175" s="309"/>
    </row>
    <row r="176" spans="1:18" ht="17.100000000000001" customHeight="1" x14ac:dyDescent="0.2">
      <c r="A176" s="310" t="s">
        <v>298</v>
      </c>
      <c r="B176" s="311"/>
      <c r="C176" s="311"/>
      <c r="D176" s="311"/>
      <c r="E176" s="311"/>
      <c r="F176" s="311"/>
      <c r="G176" s="311"/>
      <c r="H176" s="311"/>
      <c r="I176" s="312"/>
      <c r="J176" s="310" t="s">
        <v>298</v>
      </c>
      <c r="K176" s="311"/>
      <c r="L176" s="311"/>
      <c r="M176" s="311"/>
      <c r="N176" s="311"/>
      <c r="O176" s="311"/>
      <c r="P176" s="311"/>
      <c r="Q176" s="311"/>
      <c r="R176" s="312"/>
    </row>
    <row r="177" spans="1:18" ht="17.100000000000001" customHeight="1" x14ac:dyDescent="0.2">
      <c r="A177" s="313" t="str">
        <f>A1</f>
        <v>โรงพยาบาลสามโคก  ประจำเดือน  พฤศจิกายน  2568</v>
      </c>
      <c r="B177" s="314"/>
      <c r="C177" s="314"/>
      <c r="D177" s="314"/>
      <c r="E177" s="314"/>
      <c r="F177" s="314"/>
      <c r="G177" s="314"/>
      <c r="H177" s="314"/>
      <c r="I177" s="315"/>
      <c r="J177" s="313" t="str">
        <f>J155</f>
        <v>โรงพยาบาลสามโคก  ประจำเดือน  พฤศจิกายน  2568</v>
      </c>
      <c r="K177" s="314"/>
      <c r="L177" s="314"/>
      <c r="M177" s="314"/>
      <c r="N177" s="314"/>
      <c r="O177" s="314"/>
      <c r="P177" s="314"/>
      <c r="Q177" s="314"/>
      <c r="R177" s="315"/>
    </row>
    <row r="178" spans="1:18" ht="17.100000000000001" customHeight="1" x14ac:dyDescent="0.2">
      <c r="A178" s="308" t="s">
        <v>399</v>
      </c>
      <c r="B178" s="307"/>
      <c r="C178" s="307"/>
      <c r="D178" s="307"/>
      <c r="E178" s="307"/>
      <c r="F178" s="307"/>
      <c r="G178" s="307"/>
      <c r="H178" s="307"/>
      <c r="I178" s="309"/>
      <c r="J178" s="308" t="s">
        <v>460</v>
      </c>
      <c r="K178" s="307"/>
      <c r="L178" s="307"/>
      <c r="M178" s="307"/>
      <c r="N178" s="307"/>
      <c r="O178" s="307"/>
      <c r="P178" s="307"/>
      <c r="Q178" s="307"/>
      <c r="R178" s="309"/>
    </row>
    <row r="179" spans="1:18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  <c r="J179" s="149"/>
      <c r="K179" s="153"/>
      <c r="L179" s="150"/>
      <c r="M179" s="147"/>
      <c r="N179" s="147"/>
      <c r="O179" s="147"/>
      <c r="P179" s="150"/>
      <c r="Q179" s="150"/>
      <c r="R179" s="152"/>
    </row>
    <row r="180" spans="1:18" ht="17.100000000000001" customHeight="1" x14ac:dyDescent="0.2">
      <c r="A180" s="149"/>
      <c r="B180" s="307" t="s">
        <v>9</v>
      </c>
      <c r="C180" s="307"/>
      <c r="D180" s="307"/>
      <c r="E180" s="147"/>
      <c r="F180" s="147"/>
      <c r="G180" s="147" t="s">
        <v>10</v>
      </c>
      <c r="H180" s="147"/>
      <c r="I180" s="152"/>
      <c r="J180" s="149"/>
      <c r="K180" s="307" t="s">
        <v>9</v>
      </c>
      <c r="L180" s="307"/>
      <c r="M180" s="307"/>
      <c r="N180" s="147"/>
      <c r="O180" s="147"/>
      <c r="P180" s="147" t="s">
        <v>10</v>
      </c>
      <c r="Q180" s="147"/>
      <c r="R180" s="152"/>
    </row>
    <row r="181" spans="1:18" ht="17.100000000000001" customHeight="1" x14ac:dyDescent="0.2">
      <c r="A181" s="149"/>
      <c r="B181" s="150" t="s">
        <v>3</v>
      </c>
      <c r="C181" s="150"/>
      <c r="D181" s="154">
        <f>รายวัน!E16</f>
        <v>0</v>
      </c>
      <c r="E181" s="154"/>
      <c r="F181" s="155"/>
      <c r="G181" s="150" t="s">
        <v>99</v>
      </c>
      <c r="H181" s="154">
        <f>ข้าราชการ!W46</f>
        <v>0</v>
      </c>
      <c r="I181" s="152"/>
      <c r="J181" s="149"/>
      <c r="K181" s="150" t="s">
        <v>3</v>
      </c>
      <c r="L181" s="150"/>
      <c r="M181" s="154">
        <f>รายวัน!E30</f>
        <v>0</v>
      </c>
      <c r="N181" s="154"/>
      <c r="O181" s="155"/>
      <c r="P181" s="150" t="s">
        <v>99</v>
      </c>
      <c r="Q181" s="154">
        <f>ข้าราชการ!E335</f>
        <v>0</v>
      </c>
      <c r="R181" s="152"/>
    </row>
    <row r="182" spans="1:18" ht="17.100000000000001" customHeight="1" x14ac:dyDescent="0.2">
      <c r="A182" s="149"/>
      <c r="B182" s="150" t="s">
        <v>106</v>
      </c>
      <c r="C182" s="150"/>
      <c r="D182" s="154">
        <v>0</v>
      </c>
      <c r="E182" s="154"/>
      <c r="F182" s="155"/>
      <c r="G182" s="150" t="s">
        <v>116</v>
      </c>
      <c r="H182" s="154">
        <f>รายวัน!O16</f>
        <v>0</v>
      </c>
      <c r="I182" s="152"/>
      <c r="J182" s="149"/>
      <c r="K182" s="150" t="s">
        <v>106</v>
      </c>
      <c r="L182" s="150"/>
      <c r="M182" s="154">
        <v>0</v>
      </c>
      <c r="N182" s="154"/>
      <c r="O182" s="155"/>
      <c r="P182" s="150" t="s">
        <v>116</v>
      </c>
      <c r="Q182" s="154">
        <f>รายวัน!O30</f>
        <v>0</v>
      </c>
      <c r="R182" s="152"/>
    </row>
    <row r="183" spans="1:18" ht="17.100000000000001" customHeight="1" x14ac:dyDescent="0.2">
      <c r="A183" s="149"/>
      <c r="B183" s="306" t="s">
        <v>140</v>
      </c>
      <c r="C183" s="306"/>
      <c r="D183" s="154">
        <v>0</v>
      </c>
      <c r="E183" s="154"/>
      <c r="F183" s="155"/>
      <c r="G183" s="150" t="s">
        <v>54</v>
      </c>
      <c r="H183" s="154">
        <v>0</v>
      </c>
      <c r="I183" s="152"/>
      <c r="J183" s="149"/>
      <c r="K183" s="306" t="s">
        <v>140</v>
      </c>
      <c r="L183" s="306"/>
      <c r="M183" s="154">
        <v>0</v>
      </c>
      <c r="N183" s="154"/>
      <c r="O183" s="155"/>
      <c r="P183" s="150" t="s">
        <v>54</v>
      </c>
      <c r="Q183" s="154">
        <v>0</v>
      </c>
      <c r="R183" s="152"/>
    </row>
    <row r="184" spans="1:18" ht="17.100000000000001" customHeight="1" x14ac:dyDescent="0.2">
      <c r="A184" s="149"/>
      <c r="B184" s="306" t="s">
        <v>130</v>
      </c>
      <c r="C184" s="306"/>
      <c r="D184" s="154">
        <v>0</v>
      </c>
      <c r="E184" s="154"/>
      <c r="F184" s="155"/>
      <c r="G184" s="150" t="s">
        <v>100</v>
      </c>
      <c r="H184" s="154">
        <v>0</v>
      </c>
      <c r="I184" s="152"/>
      <c r="J184" s="149"/>
      <c r="K184" s="306" t="s">
        <v>130</v>
      </c>
      <c r="L184" s="306"/>
      <c r="M184" s="154">
        <f>รายวัน!H30</f>
        <v>0</v>
      </c>
      <c r="N184" s="154"/>
      <c r="O184" s="155"/>
      <c r="P184" s="150" t="s">
        <v>100</v>
      </c>
      <c r="Q184" s="154">
        <v>0</v>
      </c>
      <c r="R184" s="152"/>
    </row>
    <row r="185" spans="1:18" ht="17.100000000000001" customHeight="1" x14ac:dyDescent="0.2">
      <c r="A185" s="149"/>
      <c r="B185" s="306" t="s">
        <v>661</v>
      </c>
      <c r="C185" s="306"/>
      <c r="D185" s="154">
        <f>รายวัน!I16</f>
        <v>0</v>
      </c>
      <c r="E185" s="154"/>
      <c r="F185" s="155"/>
      <c r="G185" s="150" t="s">
        <v>377</v>
      </c>
      <c r="H185" s="156">
        <f>รายวัน!S16</f>
        <v>0</v>
      </c>
      <c r="I185" s="152"/>
      <c r="J185" s="149"/>
      <c r="K185" s="306" t="s">
        <v>661</v>
      </c>
      <c r="L185" s="306"/>
      <c r="M185" s="154">
        <f>รายวัน!I30</f>
        <v>0</v>
      </c>
      <c r="N185" s="154"/>
      <c r="O185" s="155"/>
      <c r="P185" s="150" t="s">
        <v>55</v>
      </c>
      <c r="Q185" s="156">
        <v>0</v>
      </c>
      <c r="R185" s="152"/>
    </row>
    <row r="186" spans="1:18" ht="17.100000000000001" customHeight="1" x14ac:dyDescent="0.2">
      <c r="A186" s="149"/>
      <c r="B186" s="306" t="s">
        <v>662</v>
      </c>
      <c r="C186" s="306"/>
      <c r="D186" s="154">
        <f>รายวัน!J16</f>
        <v>0</v>
      </c>
      <c r="E186" s="154"/>
      <c r="F186" s="155"/>
      <c r="G186" s="153" t="s">
        <v>137</v>
      </c>
      <c r="H186" s="156">
        <f>ข้าราชการ!AB46</f>
        <v>0</v>
      </c>
      <c r="I186" s="152"/>
      <c r="J186" s="149"/>
      <c r="K186" s="306" t="s">
        <v>119</v>
      </c>
      <c r="L186" s="306"/>
      <c r="M186" s="154">
        <f>รายวัน!J30</f>
        <v>0</v>
      </c>
      <c r="N186" s="154"/>
      <c r="O186" s="155"/>
      <c r="P186" s="153" t="s">
        <v>395</v>
      </c>
      <c r="Q186" s="156">
        <f>รายวัน!S30</f>
        <v>0</v>
      </c>
      <c r="R186" s="152"/>
    </row>
    <row r="187" spans="1:18" ht="17.100000000000001" customHeight="1" x14ac:dyDescent="0.2">
      <c r="A187" s="149"/>
      <c r="B187" s="306" t="s">
        <v>5</v>
      </c>
      <c r="C187" s="306"/>
      <c r="D187" s="154">
        <f>รายวัน!K16</f>
        <v>0</v>
      </c>
      <c r="E187" s="154"/>
      <c r="F187" s="155"/>
      <c r="G187" s="150" t="s">
        <v>56</v>
      </c>
      <c r="H187" s="156">
        <f>รายวัน!T16</f>
        <v>0</v>
      </c>
      <c r="I187" s="152"/>
      <c r="J187" s="149"/>
      <c r="K187" s="306" t="s">
        <v>5</v>
      </c>
      <c r="L187" s="306"/>
      <c r="M187" s="154">
        <f>รายวัน!K31</f>
        <v>0</v>
      </c>
      <c r="N187" s="154"/>
      <c r="O187" s="155"/>
      <c r="P187" s="150" t="s">
        <v>56</v>
      </c>
      <c r="Q187" s="156">
        <f>รายวัน!T30</f>
        <v>0</v>
      </c>
      <c r="R187" s="152"/>
    </row>
    <row r="188" spans="1:18" ht="17.100000000000001" customHeight="1" x14ac:dyDescent="0.2">
      <c r="A188" s="149"/>
      <c r="B188" s="150" t="s">
        <v>6</v>
      </c>
      <c r="C188" s="150"/>
      <c r="D188" s="154">
        <v>0</v>
      </c>
      <c r="E188" s="154"/>
      <c r="F188" s="155"/>
      <c r="G188" s="150" t="s">
        <v>57</v>
      </c>
      <c r="H188" s="156">
        <f>รายวัน!U16</f>
        <v>0</v>
      </c>
      <c r="I188" s="152"/>
      <c r="J188" s="149"/>
      <c r="K188" s="150" t="s">
        <v>6</v>
      </c>
      <c r="L188" s="150"/>
      <c r="M188" s="154">
        <f>ข้าราชการ!C335</f>
        <v>0</v>
      </c>
      <c r="N188" s="154"/>
      <c r="O188" s="155"/>
      <c r="P188" s="150" t="s">
        <v>57</v>
      </c>
      <c r="Q188" s="156">
        <f>รายวัน!U30</f>
        <v>0</v>
      </c>
      <c r="R188" s="152"/>
    </row>
    <row r="189" spans="1:18" ht="17.100000000000001" customHeight="1" x14ac:dyDescent="0.2">
      <c r="A189" s="149"/>
      <c r="B189" s="150" t="s">
        <v>7</v>
      </c>
      <c r="C189" s="150"/>
      <c r="D189" s="154">
        <v>0</v>
      </c>
      <c r="E189" s="154"/>
      <c r="F189" s="155"/>
      <c r="G189" s="150"/>
      <c r="H189" s="154"/>
      <c r="I189" s="152"/>
      <c r="J189" s="149"/>
      <c r="K189" s="150" t="s">
        <v>7</v>
      </c>
      <c r="L189" s="150"/>
      <c r="M189" s="154">
        <v>0</v>
      </c>
      <c r="N189" s="154"/>
      <c r="O189" s="155"/>
      <c r="P189" s="150"/>
      <c r="Q189" s="154"/>
      <c r="R189" s="152"/>
    </row>
    <row r="190" spans="1:18" ht="17.100000000000001" customHeight="1" x14ac:dyDescent="0.2">
      <c r="A190" s="149"/>
      <c r="B190" s="307" t="s">
        <v>101</v>
      </c>
      <c r="C190" s="307"/>
      <c r="D190" s="154">
        <f>SUM(D181:D189)</f>
        <v>0</v>
      </c>
      <c r="E190" s="154"/>
      <c r="F190" s="157"/>
      <c r="G190" s="147" t="s">
        <v>102</v>
      </c>
      <c r="H190" s="157">
        <f>SUM(H181:H189)</f>
        <v>0</v>
      </c>
      <c r="I190" s="152"/>
      <c r="J190" s="149"/>
      <c r="K190" s="307" t="s">
        <v>101</v>
      </c>
      <c r="L190" s="307"/>
      <c r="M190" s="154">
        <f>SUM(M181:M189)</f>
        <v>0</v>
      </c>
      <c r="N190" s="154"/>
      <c r="O190" s="157"/>
      <c r="P190" s="147" t="s">
        <v>102</v>
      </c>
      <c r="Q190" s="157">
        <f>SUM(Q181:Q189)</f>
        <v>0</v>
      </c>
      <c r="R190" s="152"/>
    </row>
    <row r="191" spans="1:18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  <c r="J191" s="149"/>
      <c r="K191" s="150"/>
      <c r="L191" s="147" t="s">
        <v>103</v>
      </c>
      <c r="M191" s="157">
        <f>M190-Q190</f>
        <v>0</v>
      </c>
      <c r="N191" s="157"/>
      <c r="O191" s="158" t="s">
        <v>104</v>
      </c>
      <c r="Q191" s="150"/>
      <c r="R191" s="152"/>
    </row>
    <row r="192" spans="1:18" ht="17.100000000000001" customHeight="1" x14ac:dyDescent="0.2">
      <c r="A192" s="149"/>
      <c r="C192" s="307" t="str">
        <f>"("&amp;BAHTTEXT(D191)&amp;")"</f>
        <v>(ศูนย์บาทถ้วน)</v>
      </c>
      <c r="D192" s="307"/>
      <c r="E192" s="307"/>
      <c r="F192" s="307"/>
      <c r="G192" s="307"/>
      <c r="I192" s="152"/>
      <c r="J192" s="149"/>
      <c r="L192" s="307" t="str">
        <f>"("&amp;BAHTTEXT(M191)&amp;")"</f>
        <v>(ศูนย์บาทถ้วน)</v>
      </c>
      <c r="M192" s="307"/>
      <c r="N192" s="307"/>
      <c r="O192" s="307"/>
      <c r="P192" s="307"/>
      <c r="R192" s="152"/>
    </row>
    <row r="193" spans="1:18" ht="17.100000000000001" customHeight="1" x14ac:dyDescent="0.2">
      <c r="A193" s="149"/>
      <c r="C193" s="147"/>
      <c r="D193" s="147"/>
      <c r="E193" s="147"/>
      <c r="F193" s="147"/>
      <c r="G193" s="147"/>
      <c r="I193" s="152"/>
      <c r="J193" s="149"/>
      <c r="L193" s="147"/>
      <c r="M193" s="147"/>
      <c r="N193" s="147"/>
      <c r="O193" s="147"/>
      <c r="P193" s="147"/>
      <c r="R193" s="152"/>
    </row>
    <row r="194" spans="1:18" ht="17.100000000000001" customHeight="1" x14ac:dyDescent="0.2">
      <c r="A194" s="149"/>
      <c r="C194" s="147"/>
      <c r="D194" s="147"/>
      <c r="E194" s="147"/>
      <c r="F194" s="147"/>
      <c r="G194" s="147"/>
      <c r="I194" s="152"/>
      <c r="J194" s="149"/>
      <c r="L194" s="147"/>
      <c r="M194" s="147"/>
      <c r="N194" s="147"/>
      <c r="O194" s="147"/>
      <c r="P194" s="147"/>
      <c r="R194" s="152"/>
    </row>
    <row r="195" spans="1:18" ht="17.100000000000001" customHeight="1" x14ac:dyDescent="0.2">
      <c r="A195" s="149"/>
      <c r="I195" s="152"/>
      <c r="J195" s="149"/>
      <c r="R195" s="152"/>
    </row>
    <row r="196" spans="1:18" ht="17.100000000000001" customHeight="1" x14ac:dyDescent="0.2">
      <c r="A196" s="149"/>
      <c r="I196" s="152"/>
      <c r="J196" s="149"/>
      <c r="R196" s="152"/>
    </row>
    <row r="197" spans="1:18" ht="17.100000000000001" customHeight="1" x14ac:dyDescent="0.2">
      <c r="A197" s="308" t="s">
        <v>315</v>
      </c>
      <c r="B197" s="307"/>
      <c r="C197" s="307"/>
      <c r="D197" s="307"/>
      <c r="E197" s="307"/>
      <c r="F197" s="307"/>
      <c r="G197" s="307"/>
      <c r="H197" s="307"/>
      <c r="I197" s="309"/>
      <c r="J197" s="308" t="s">
        <v>315</v>
      </c>
      <c r="K197" s="307"/>
      <c r="L197" s="307"/>
      <c r="M197" s="307"/>
      <c r="N197" s="307"/>
      <c r="O197" s="307"/>
      <c r="P197" s="307"/>
      <c r="Q197" s="307"/>
      <c r="R197" s="309"/>
    </row>
    <row r="198" spans="1:18" ht="17.100000000000001" customHeight="1" x14ac:dyDescent="0.2">
      <c r="A198" s="310" t="s">
        <v>298</v>
      </c>
      <c r="B198" s="311"/>
      <c r="C198" s="311"/>
      <c r="D198" s="311"/>
      <c r="E198" s="311"/>
      <c r="F198" s="311"/>
      <c r="G198" s="311"/>
      <c r="H198" s="311"/>
      <c r="I198" s="312"/>
      <c r="J198" s="310" t="s">
        <v>298</v>
      </c>
      <c r="K198" s="311"/>
      <c r="L198" s="311"/>
      <c r="M198" s="311"/>
      <c r="N198" s="311"/>
      <c r="O198" s="311"/>
      <c r="P198" s="311"/>
      <c r="Q198" s="311"/>
      <c r="R198" s="312"/>
    </row>
    <row r="199" spans="1:18" ht="17.100000000000001" customHeight="1" x14ac:dyDescent="0.2">
      <c r="A199" s="313" t="str">
        <f>A1</f>
        <v>โรงพยาบาลสามโคก  ประจำเดือน  พฤศจิกายน  2568</v>
      </c>
      <c r="B199" s="314"/>
      <c r="C199" s="314"/>
      <c r="D199" s="314"/>
      <c r="E199" s="314"/>
      <c r="F199" s="314"/>
      <c r="G199" s="314"/>
      <c r="H199" s="314"/>
      <c r="I199" s="315"/>
      <c r="J199" s="313" t="str">
        <f>รว!A23</f>
        <v>โรงพยาบาลสามโคก  ประจำเดือน  พฤศจิกายน  2568</v>
      </c>
      <c r="K199" s="314"/>
      <c r="L199" s="314"/>
      <c r="M199" s="314"/>
      <c r="N199" s="314"/>
      <c r="O199" s="314"/>
      <c r="P199" s="314"/>
      <c r="Q199" s="314"/>
      <c r="R199" s="315"/>
    </row>
    <row r="200" spans="1:18" ht="17.100000000000001" customHeight="1" x14ac:dyDescent="0.2">
      <c r="A200" s="308" t="s">
        <v>409</v>
      </c>
      <c r="B200" s="307"/>
      <c r="C200" s="307"/>
      <c r="D200" s="307"/>
      <c r="E200" s="307"/>
      <c r="F200" s="307"/>
      <c r="G200" s="307"/>
      <c r="H200" s="307"/>
      <c r="I200" s="309"/>
      <c r="J200" s="308" t="s">
        <v>469</v>
      </c>
      <c r="K200" s="307"/>
      <c r="L200" s="307"/>
      <c r="M200" s="307"/>
      <c r="N200" s="307"/>
      <c r="O200" s="307"/>
      <c r="P200" s="307"/>
      <c r="Q200" s="307"/>
      <c r="R200" s="309"/>
    </row>
    <row r="201" spans="1:18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  <c r="J201" s="149"/>
      <c r="K201" s="153"/>
      <c r="L201" s="150"/>
      <c r="M201" s="147"/>
      <c r="N201" s="147"/>
      <c r="O201" s="147"/>
      <c r="P201" s="150"/>
      <c r="Q201" s="150"/>
      <c r="R201" s="152"/>
    </row>
    <row r="202" spans="1:18" ht="17.100000000000001" customHeight="1" x14ac:dyDescent="0.2">
      <c r="A202" s="149"/>
      <c r="B202" s="307" t="s">
        <v>9</v>
      </c>
      <c r="C202" s="307"/>
      <c r="D202" s="307"/>
      <c r="E202" s="147"/>
      <c r="F202" s="147"/>
      <c r="G202" s="147" t="s">
        <v>10</v>
      </c>
      <c r="H202" s="147"/>
      <c r="I202" s="152"/>
      <c r="J202" s="149"/>
      <c r="K202" s="307" t="s">
        <v>9</v>
      </c>
      <c r="L202" s="307"/>
      <c r="M202" s="307"/>
      <c r="N202" s="147"/>
      <c r="O202" s="147"/>
      <c r="P202" s="147" t="s">
        <v>10</v>
      </c>
      <c r="Q202" s="147"/>
      <c r="R202" s="152"/>
    </row>
    <row r="203" spans="1:18" ht="17.100000000000001" customHeight="1" x14ac:dyDescent="0.2">
      <c r="A203" s="149"/>
      <c r="B203" s="150" t="s">
        <v>3</v>
      </c>
      <c r="C203" s="150"/>
      <c r="D203" s="154">
        <f>รายวัน!E17</f>
        <v>0</v>
      </c>
      <c r="E203" s="154"/>
      <c r="F203" s="155"/>
      <c r="G203" s="150" t="s">
        <v>99</v>
      </c>
      <c r="H203" s="154">
        <f>ข้าราชการ!W139</f>
        <v>0</v>
      </c>
      <c r="I203" s="152"/>
      <c r="J203" s="149"/>
      <c r="K203" s="150" t="s">
        <v>3</v>
      </c>
      <c r="L203" s="150"/>
      <c r="M203" s="154">
        <f>รายวัน!E31</f>
        <v>0</v>
      </c>
      <c r="N203" s="154"/>
      <c r="O203" s="155"/>
      <c r="P203" s="150" t="s">
        <v>99</v>
      </c>
      <c r="Q203" s="154">
        <f>ข้าราชการ!W65</f>
        <v>0</v>
      </c>
      <c r="R203" s="152"/>
    </row>
    <row r="204" spans="1:18" ht="17.100000000000001" customHeight="1" x14ac:dyDescent="0.2">
      <c r="A204" s="149"/>
      <c r="B204" s="150" t="s">
        <v>106</v>
      </c>
      <c r="C204" s="150"/>
      <c r="D204" s="154">
        <v>0</v>
      </c>
      <c r="E204" s="154"/>
      <c r="F204" s="155"/>
      <c r="G204" s="150" t="s">
        <v>116</v>
      </c>
      <c r="H204" s="154">
        <f>รายวัน!O17</f>
        <v>0</v>
      </c>
      <c r="I204" s="152"/>
      <c r="J204" s="149"/>
      <c r="K204" s="150" t="s">
        <v>106</v>
      </c>
      <c r="L204" s="150"/>
      <c r="M204" s="154">
        <v>0</v>
      </c>
      <c r="N204" s="154"/>
      <c r="O204" s="155"/>
      <c r="P204" s="150" t="s">
        <v>116</v>
      </c>
      <c r="Q204" s="154">
        <f>รายวัน!O31</f>
        <v>0</v>
      </c>
      <c r="R204" s="152"/>
    </row>
    <row r="205" spans="1:18" ht="17.100000000000001" customHeight="1" x14ac:dyDescent="0.2">
      <c r="A205" s="149"/>
      <c r="B205" s="306" t="s">
        <v>140</v>
      </c>
      <c r="C205" s="306"/>
      <c r="D205" s="154">
        <v>0</v>
      </c>
      <c r="E205" s="154"/>
      <c r="F205" s="155"/>
      <c r="G205" s="150" t="s">
        <v>54</v>
      </c>
      <c r="H205" s="154">
        <v>0</v>
      </c>
      <c r="I205" s="152"/>
      <c r="J205" s="149"/>
      <c r="K205" s="306" t="s">
        <v>140</v>
      </c>
      <c r="L205" s="306"/>
      <c r="M205" s="154">
        <v>0</v>
      </c>
      <c r="N205" s="154"/>
      <c r="O205" s="155"/>
      <c r="P205" s="150" t="s">
        <v>54</v>
      </c>
      <c r="Q205" s="154">
        <v>0</v>
      </c>
      <c r="R205" s="152"/>
    </row>
    <row r="206" spans="1:18" ht="17.100000000000001" customHeight="1" x14ac:dyDescent="0.2">
      <c r="A206" s="149"/>
      <c r="B206" s="306" t="s">
        <v>130</v>
      </c>
      <c r="C206" s="306"/>
      <c r="D206" s="154">
        <v>0</v>
      </c>
      <c r="E206" s="154"/>
      <c r="F206" s="155"/>
      <c r="G206" s="150" t="s">
        <v>100</v>
      </c>
      <c r="H206" s="154">
        <v>0</v>
      </c>
      <c r="I206" s="152"/>
      <c r="J206" s="149"/>
      <c r="K206" s="306" t="s">
        <v>130</v>
      </c>
      <c r="L206" s="306"/>
      <c r="M206" s="154">
        <v>0</v>
      </c>
      <c r="N206" s="154"/>
      <c r="O206" s="155"/>
      <c r="P206" s="150" t="s">
        <v>100</v>
      </c>
      <c r="Q206" s="154">
        <v>0</v>
      </c>
      <c r="R206" s="152"/>
    </row>
    <row r="207" spans="1:18" ht="17.100000000000001" customHeight="1" x14ac:dyDescent="0.2">
      <c r="A207" s="149"/>
      <c r="B207" s="306" t="s">
        <v>661</v>
      </c>
      <c r="C207" s="306"/>
      <c r="D207" s="154">
        <f>รายวัน!I17</f>
        <v>0</v>
      </c>
      <c r="E207" s="154"/>
      <c r="F207" s="155"/>
      <c r="G207" s="153" t="s">
        <v>377</v>
      </c>
      <c r="H207" s="156">
        <f>รายวัน!S17</f>
        <v>0</v>
      </c>
      <c r="I207" s="152"/>
      <c r="J207" s="149"/>
      <c r="K207" s="306" t="s">
        <v>661</v>
      </c>
      <c r="L207" s="306"/>
      <c r="M207" s="154">
        <f>รายวัน!I31</f>
        <v>0</v>
      </c>
      <c r="N207" s="154"/>
      <c r="O207" s="155"/>
      <c r="P207" s="153" t="s">
        <v>395</v>
      </c>
      <c r="Q207" s="156">
        <f>รายวัน!S31</f>
        <v>0</v>
      </c>
      <c r="R207" s="152"/>
    </row>
    <row r="208" spans="1:18" ht="17.100000000000001" customHeight="1" x14ac:dyDescent="0.2">
      <c r="A208" s="149"/>
      <c r="B208" s="306" t="s">
        <v>662</v>
      </c>
      <c r="C208" s="306"/>
      <c r="D208" s="154">
        <f>รายวัน!J17</f>
        <v>0</v>
      </c>
      <c r="E208" s="154"/>
      <c r="F208" s="155"/>
      <c r="G208" s="153" t="s">
        <v>137</v>
      </c>
      <c r="H208" s="156">
        <f>ข้าราชการ!AB139</f>
        <v>0</v>
      </c>
      <c r="I208" s="152"/>
      <c r="J208" s="149"/>
      <c r="K208" s="306" t="s">
        <v>662</v>
      </c>
      <c r="L208" s="306"/>
      <c r="M208" s="154">
        <f>รายวัน!J31</f>
        <v>0</v>
      </c>
      <c r="N208" s="154"/>
      <c r="O208" s="155"/>
      <c r="P208" s="153" t="s">
        <v>137</v>
      </c>
      <c r="Q208" s="156">
        <f>ข้าราชการ!AB65</f>
        <v>0</v>
      </c>
      <c r="R208" s="152"/>
    </row>
    <row r="209" spans="1:18" ht="17.100000000000001" customHeight="1" x14ac:dyDescent="0.2">
      <c r="A209" s="149"/>
      <c r="B209" s="306" t="s">
        <v>5</v>
      </c>
      <c r="C209" s="306"/>
      <c r="D209" s="154">
        <f>รายวัน!K17</f>
        <v>0</v>
      </c>
      <c r="E209" s="154"/>
      <c r="F209" s="155"/>
      <c r="G209" s="150" t="s">
        <v>56</v>
      </c>
      <c r="H209" s="156">
        <f>รายวัน!T17</f>
        <v>0</v>
      </c>
      <c r="I209" s="152"/>
      <c r="J209" s="149"/>
      <c r="K209" s="306" t="s">
        <v>5</v>
      </c>
      <c r="L209" s="306"/>
      <c r="M209" s="154">
        <f>รายวัน!K33</f>
        <v>0</v>
      </c>
      <c r="N209" s="154"/>
      <c r="O209" s="155"/>
      <c r="P209" s="150" t="s">
        <v>56</v>
      </c>
      <c r="Q209" s="156">
        <f>รายวัน!T31</f>
        <v>0</v>
      </c>
      <c r="R209" s="152"/>
    </row>
    <row r="210" spans="1:18" ht="17.100000000000001" customHeight="1" x14ac:dyDescent="0.2">
      <c r="A210" s="149"/>
      <c r="B210" s="150" t="s">
        <v>6</v>
      </c>
      <c r="C210" s="150"/>
      <c r="D210" s="154">
        <f>ข้าราชการ!U139</f>
        <v>0</v>
      </c>
      <c r="E210" s="154"/>
      <c r="F210" s="155"/>
      <c r="G210" s="150" t="s">
        <v>57</v>
      </c>
      <c r="H210" s="156">
        <f>รายวัน!U17</f>
        <v>0</v>
      </c>
      <c r="I210" s="152"/>
      <c r="J210" s="149"/>
      <c r="K210" s="150" t="s">
        <v>6</v>
      </c>
      <c r="L210" s="150"/>
      <c r="M210" s="154">
        <f>ข้าราชการ!U65</f>
        <v>0</v>
      </c>
      <c r="N210" s="154"/>
      <c r="O210" s="155"/>
      <c r="P210" s="150" t="s">
        <v>57</v>
      </c>
      <c r="Q210" s="156">
        <f>รายวัน!U31</f>
        <v>0</v>
      </c>
      <c r="R210" s="152"/>
    </row>
    <row r="211" spans="1:18" ht="17.100000000000001" customHeight="1" x14ac:dyDescent="0.2">
      <c r="A211" s="149"/>
      <c r="B211" s="150" t="s">
        <v>7</v>
      </c>
      <c r="C211" s="150"/>
      <c r="D211" s="154">
        <v>0</v>
      </c>
      <c r="E211" s="154"/>
      <c r="F211" s="155"/>
      <c r="G211" s="150"/>
      <c r="H211" s="154"/>
      <c r="I211" s="152"/>
      <c r="J211" s="149"/>
      <c r="K211" s="150" t="s">
        <v>7</v>
      </c>
      <c r="L211" s="150"/>
      <c r="M211" s="154">
        <v>0</v>
      </c>
      <c r="N211" s="154"/>
      <c r="O211" s="155"/>
      <c r="P211" s="150"/>
      <c r="Q211" s="154"/>
      <c r="R211" s="152"/>
    </row>
    <row r="212" spans="1:18" ht="17.100000000000001" customHeight="1" x14ac:dyDescent="0.2">
      <c r="A212" s="149"/>
      <c r="B212" s="307" t="s">
        <v>101</v>
      </c>
      <c r="C212" s="307"/>
      <c r="D212" s="154">
        <f>SUM(D203:D211)</f>
        <v>0</v>
      </c>
      <c r="E212" s="154"/>
      <c r="F212" s="157"/>
      <c r="G212" s="147" t="s">
        <v>102</v>
      </c>
      <c r="H212" s="157">
        <f>SUM(H203:H211)</f>
        <v>0</v>
      </c>
      <c r="I212" s="152"/>
      <c r="J212" s="149"/>
      <c r="K212" s="307" t="s">
        <v>101</v>
      </c>
      <c r="L212" s="307"/>
      <c r="M212" s="154">
        <f>SUM(M203:M211)</f>
        <v>0</v>
      </c>
      <c r="N212" s="154"/>
      <c r="O212" s="157"/>
      <c r="P212" s="147" t="s">
        <v>102</v>
      </c>
      <c r="Q212" s="157">
        <f>SUM(Q203:Q211)</f>
        <v>0</v>
      </c>
      <c r="R212" s="152"/>
    </row>
    <row r="213" spans="1:18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  <c r="J213" s="149"/>
      <c r="K213" s="150"/>
      <c r="L213" s="147" t="s">
        <v>103</v>
      </c>
      <c r="M213" s="157">
        <f>M212-Q212</f>
        <v>0</v>
      </c>
      <c r="N213" s="157"/>
      <c r="O213" s="158" t="s">
        <v>104</v>
      </c>
      <c r="Q213" s="150"/>
      <c r="R213" s="152"/>
    </row>
    <row r="214" spans="1:18" ht="17.100000000000001" customHeight="1" x14ac:dyDescent="0.2">
      <c r="A214" s="149"/>
      <c r="C214" s="307" t="str">
        <f>"("&amp;BAHTTEXT(D213)&amp;")"</f>
        <v>(ศูนย์บาทถ้วน)</v>
      </c>
      <c r="D214" s="307"/>
      <c r="E214" s="307"/>
      <c r="F214" s="307"/>
      <c r="G214" s="307"/>
      <c r="I214" s="152"/>
      <c r="J214" s="149"/>
      <c r="L214" s="307" t="str">
        <f>"("&amp;BAHTTEXT(M213)&amp;")"</f>
        <v>(ศูนย์บาทถ้วน)</v>
      </c>
      <c r="M214" s="307"/>
      <c r="N214" s="307"/>
      <c r="O214" s="307"/>
      <c r="P214" s="307"/>
      <c r="R214" s="152"/>
    </row>
    <row r="215" spans="1:18" ht="17.100000000000001" customHeight="1" x14ac:dyDescent="0.2">
      <c r="A215" s="149"/>
      <c r="C215" s="147"/>
      <c r="D215" s="147"/>
      <c r="E215" s="147"/>
      <c r="F215" s="147"/>
      <c r="G215" s="147"/>
      <c r="I215" s="152"/>
      <c r="J215" s="149"/>
      <c r="L215" s="147"/>
      <c r="M215" s="147"/>
      <c r="N215" s="147"/>
      <c r="O215" s="147"/>
      <c r="P215" s="147"/>
      <c r="R215" s="152"/>
    </row>
    <row r="216" spans="1:18" ht="17.100000000000001" customHeight="1" x14ac:dyDescent="0.2">
      <c r="A216" s="149"/>
      <c r="C216" s="147"/>
      <c r="D216" s="147"/>
      <c r="E216" s="147"/>
      <c r="F216" s="147"/>
      <c r="G216" s="147"/>
      <c r="I216" s="152"/>
      <c r="J216" s="149"/>
      <c r="L216" s="147"/>
      <c r="M216" s="147"/>
      <c r="N216" s="147"/>
      <c r="O216" s="147"/>
      <c r="P216" s="147"/>
      <c r="R216" s="152"/>
    </row>
    <row r="217" spans="1:18" ht="17.100000000000001" customHeight="1" x14ac:dyDescent="0.2">
      <c r="A217" s="149"/>
      <c r="I217" s="152"/>
      <c r="J217" s="149"/>
      <c r="R217" s="152"/>
    </row>
    <row r="218" spans="1:18" ht="17.100000000000001" customHeight="1" x14ac:dyDescent="0.2">
      <c r="A218" s="149"/>
      <c r="I218" s="152"/>
      <c r="J218" s="149"/>
      <c r="R218" s="152"/>
    </row>
    <row r="219" spans="1:18" ht="17.100000000000001" customHeight="1" x14ac:dyDescent="0.2">
      <c r="A219" s="308" t="s">
        <v>315</v>
      </c>
      <c r="B219" s="307"/>
      <c r="C219" s="307"/>
      <c r="D219" s="307"/>
      <c r="E219" s="307"/>
      <c r="F219" s="307"/>
      <c r="G219" s="307"/>
      <c r="H219" s="307"/>
      <c r="I219" s="309"/>
      <c r="J219" s="308" t="s">
        <v>315</v>
      </c>
      <c r="K219" s="307"/>
      <c r="L219" s="307"/>
      <c r="M219" s="307"/>
      <c r="N219" s="307"/>
      <c r="O219" s="307"/>
      <c r="P219" s="307"/>
      <c r="Q219" s="307"/>
      <c r="R219" s="309"/>
    </row>
    <row r="220" spans="1:18" ht="17.100000000000001" customHeight="1" x14ac:dyDescent="0.2">
      <c r="A220" s="310" t="s">
        <v>298</v>
      </c>
      <c r="B220" s="311"/>
      <c r="C220" s="311"/>
      <c r="D220" s="311"/>
      <c r="E220" s="311"/>
      <c r="F220" s="311"/>
      <c r="G220" s="311"/>
      <c r="H220" s="311"/>
      <c r="I220" s="312"/>
      <c r="J220" s="310" t="s">
        <v>298</v>
      </c>
      <c r="K220" s="311"/>
      <c r="L220" s="311"/>
      <c r="M220" s="311"/>
      <c r="N220" s="311"/>
      <c r="O220" s="311"/>
      <c r="P220" s="311"/>
      <c r="Q220" s="311"/>
      <c r="R220" s="312"/>
    </row>
    <row r="221" spans="1:18" ht="17.100000000000001" customHeight="1" x14ac:dyDescent="0.2">
      <c r="A221" s="313" t="str">
        <f>A1</f>
        <v>โรงพยาบาลสามโคก  ประจำเดือน  พฤศจิกายน  2568</v>
      </c>
      <c r="B221" s="314"/>
      <c r="C221" s="314"/>
      <c r="D221" s="314"/>
      <c r="E221" s="314"/>
      <c r="F221" s="314"/>
      <c r="G221" s="314"/>
      <c r="H221" s="314"/>
      <c r="I221" s="315"/>
      <c r="J221" s="313" t="str">
        <f>รว!A45</f>
        <v>โรงพยาบาลสามโคก  ประจำเดือน  พฤศจิกายน  2568</v>
      </c>
      <c r="K221" s="314"/>
      <c r="L221" s="314"/>
      <c r="M221" s="314"/>
      <c r="N221" s="314"/>
      <c r="O221" s="314"/>
      <c r="P221" s="314"/>
      <c r="Q221" s="314"/>
      <c r="R221" s="315"/>
    </row>
    <row r="222" spans="1:18" ht="17.100000000000001" customHeight="1" x14ac:dyDescent="0.2">
      <c r="A222" s="308" t="s">
        <v>410</v>
      </c>
      <c r="B222" s="307"/>
      <c r="C222" s="307"/>
      <c r="D222" s="307"/>
      <c r="E222" s="307"/>
      <c r="F222" s="307"/>
      <c r="G222" s="307"/>
      <c r="H222" s="307"/>
      <c r="I222" s="309"/>
      <c r="J222" s="308" t="s">
        <v>484</v>
      </c>
      <c r="K222" s="307"/>
      <c r="L222" s="307"/>
      <c r="M222" s="307"/>
      <c r="N222" s="307"/>
      <c r="O222" s="307"/>
      <c r="P222" s="307"/>
      <c r="Q222" s="307"/>
      <c r="R222" s="309"/>
    </row>
    <row r="223" spans="1:18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  <c r="J223" s="149"/>
      <c r="K223" s="153"/>
      <c r="L223" s="150"/>
      <c r="M223" s="147"/>
      <c r="N223" s="147"/>
      <c r="O223" s="147"/>
      <c r="P223" s="150"/>
      <c r="Q223" s="150"/>
      <c r="R223" s="152"/>
    </row>
    <row r="224" spans="1:18" ht="17.100000000000001" customHeight="1" x14ac:dyDescent="0.2">
      <c r="A224" s="149"/>
      <c r="B224" s="307" t="s">
        <v>9</v>
      </c>
      <c r="C224" s="307"/>
      <c r="D224" s="307"/>
      <c r="E224" s="147"/>
      <c r="F224" s="147"/>
      <c r="G224" s="147" t="s">
        <v>10</v>
      </c>
      <c r="H224" s="147"/>
      <c r="I224" s="152"/>
      <c r="J224" s="149"/>
      <c r="K224" s="307" t="s">
        <v>9</v>
      </c>
      <c r="L224" s="307"/>
      <c r="M224" s="307"/>
      <c r="N224" s="147"/>
      <c r="O224" s="147"/>
      <c r="P224" s="147" t="s">
        <v>10</v>
      </c>
      <c r="Q224" s="147"/>
      <c r="R224" s="152"/>
    </row>
    <row r="225" spans="1:18" ht="17.100000000000001" customHeight="1" x14ac:dyDescent="0.2">
      <c r="A225" s="149"/>
      <c r="B225" s="150" t="s">
        <v>3</v>
      </c>
      <c r="C225" s="150"/>
      <c r="D225" s="154">
        <f>รายวัน!E18</f>
        <v>0</v>
      </c>
      <c r="E225" s="154"/>
      <c r="F225" s="155"/>
      <c r="G225" s="150" t="s">
        <v>99</v>
      </c>
      <c r="H225" s="154">
        <f>ข้าราชการ!W161</f>
        <v>0</v>
      </c>
      <c r="I225" s="152"/>
      <c r="J225" s="149"/>
      <c r="K225" s="150" t="s">
        <v>3</v>
      </c>
      <c r="L225" s="150"/>
      <c r="M225" s="154">
        <f>รายวัน!E32</f>
        <v>0</v>
      </c>
      <c r="N225" s="154"/>
      <c r="O225" s="155"/>
      <c r="P225" s="150" t="s">
        <v>99</v>
      </c>
      <c r="Q225" s="154">
        <f>ข้าราชการ!W97</f>
        <v>0</v>
      </c>
      <c r="R225" s="152"/>
    </row>
    <row r="226" spans="1:18" ht="17.100000000000001" customHeight="1" x14ac:dyDescent="0.2">
      <c r="A226" s="149"/>
      <c r="B226" s="150" t="s">
        <v>106</v>
      </c>
      <c r="C226" s="150"/>
      <c r="D226" s="154">
        <v>0</v>
      </c>
      <c r="E226" s="154"/>
      <c r="F226" s="155"/>
      <c r="G226" s="150" t="s">
        <v>116</v>
      </c>
      <c r="H226" s="154">
        <f>รายวัน!O18</f>
        <v>0</v>
      </c>
      <c r="I226" s="152"/>
      <c r="J226" s="149"/>
      <c r="K226" s="150" t="s">
        <v>106</v>
      </c>
      <c r="L226" s="150"/>
      <c r="M226" s="154">
        <v>0</v>
      </c>
      <c r="N226" s="154"/>
      <c r="O226" s="155"/>
      <c r="P226" s="150" t="s">
        <v>116</v>
      </c>
      <c r="Q226" s="154">
        <f>รายวัน!O32</f>
        <v>0</v>
      </c>
      <c r="R226" s="152"/>
    </row>
    <row r="227" spans="1:18" ht="17.100000000000001" customHeight="1" x14ac:dyDescent="0.2">
      <c r="A227" s="149"/>
      <c r="B227" s="306" t="s">
        <v>140</v>
      </c>
      <c r="C227" s="306"/>
      <c r="D227" s="154">
        <v>0</v>
      </c>
      <c r="E227" s="154"/>
      <c r="F227" s="155"/>
      <c r="G227" s="150" t="s">
        <v>54</v>
      </c>
      <c r="H227" s="154">
        <v>0</v>
      </c>
      <c r="I227" s="152"/>
      <c r="J227" s="149"/>
      <c r="K227" s="306" t="s">
        <v>140</v>
      </c>
      <c r="L227" s="306"/>
      <c r="M227" s="154">
        <v>0</v>
      </c>
      <c r="N227" s="154"/>
      <c r="O227" s="155"/>
      <c r="P227" s="150" t="s">
        <v>54</v>
      </c>
      <c r="Q227" s="154">
        <v>0</v>
      </c>
      <c r="R227" s="152"/>
    </row>
    <row r="228" spans="1:18" ht="17.100000000000001" customHeight="1" x14ac:dyDescent="0.2">
      <c r="A228" s="149"/>
      <c r="B228" s="306" t="s">
        <v>130</v>
      </c>
      <c r="C228" s="306"/>
      <c r="D228" s="154">
        <v>0</v>
      </c>
      <c r="E228" s="154"/>
      <c r="F228" s="155"/>
      <c r="G228" s="150" t="s">
        <v>100</v>
      </c>
      <c r="H228" s="154">
        <v>0</v>
      </c>
      <c r="I228" s="152"/>
      <c r="J228" s="149"/>
      <c r="K228" s="306" t="s">
        <v>130</v>
      </c>
      <c r="L228" s="306"/>
      <c r="M228" s="154">
        <f>รายวัน!H32</f>
        <v>0</v>
      </c>
      <c r="N228" s="154"/>
      <c r="O228" s="155"/>
      <c r="P228" s="150" t="s">
        <v>100</v>
      </c>
      <c r="Q228" s="154">
        <v>0</v>
      </c>
      <c r="R228" s="152"/>
    </row>
    <row r="229" spans="1:18" ht="17.100000000000001" customHeight="1" x14ac:dyDescent="0.2">
      <c r="A229" s="149"/>
      <c r="B229" s="306" t="s">
        <v>661</v>
      </c>
      <c r="C229" s="306"/>
      <c r="D229" s="154">
        <f>รายวัน!I18</f>
        <v>0</v>
      </c>
      <c r="E229" s="154"/>
      <c r="F229" s="155"/>
      <c r="G229" s="153" t="s">
        <v>377</v>
      </c>
      <c r="H229" s="156">
        <f>รายวัน!S18</f>
        <v>0</v>
      </c>
      <c r="I229" s="152"/>
      <c r="J229" s="149"/>
      <c r="K229" s="306" t="s">
        <v>661</v>
      </c>
      <c r="L229" s="306"/>
      <c r="M229" s="154">
        <f>รายวัน!I32</f>
        <v>0</v>
      </c>
      <c r="N229" s="154"/>
      <c r="O229" s="155"/>
      <c r="P229" s="150" t="s">
        <v>55</v>
      </c>
      <c r="Q229" s="156">
        <v>0</v>
      </c>
      <c r="R229" s="152"/>
    </row>
    <row r="230" spans="1:18" ht="17.100000000000001" customHeight="1" x14ac:dyDescent="0.2">
      <c r="A230" s="149"/>
      <c r="B230" s="306" t="s">
        <v>662</v>
      </c>
      <c r="C230" s="306"/>
      <c r="D230" s="154">
        <f>รายวัน!J18</f>
        <v>0</v>
      </c>
      <c r="E230" s="154"/>
      <c r="F230" s="155"/>
      <c r="G230" s="153" t="s">
        <v>137</v>
      </c>
      <c r="H230" s="156">
        <f>ข้าราชการ!AB161</f>
        <v>0</v>
      </c>
      <c r="I230" s="152"/>
      <c r="J230" s="149"/>
      <c r="K230" s="306" t="s">
        <v>119</v>
      </c>
      <c r="L230" s="306"/>
      <c r="M230" s="154">
        <f>รายวัน!J32</f>
        <v>0</v>
      </c>
      <c r="N230" s="154"/>
      <c r="O230" s="155"/>
      <c r="P230" s="153" t="s">
        <v>377</v>
      </c>
      <c r="Q230" s="156">
        <f>รายวัน!S32</f>
        <v>0</v>
      </c>
      <c r="R230" s="152"/>
    </row>
    <row r="231" spans="1:18" ht="17.100000000000001" customHeight="1" x14ac:dyDescent="0.2">
      <c r="A231" s="149"/>
      <c r="B231" s="306" t="s">
        <v>5</v>
      </c>
      <c r="C231" s="306"/>
      <c r="D231" s="154">
        <f>รายวัน!K18</f>
        <v>0</v>
      </c>
      <c r="E231" s="154"/>
      <c r="F231" s="155"/>
      <c r="G231" s="150" t="s">
        <v>56</v>
      </c>
      <c r="H231" s="156">
        <f>รายวัน!T18</f>
        <v>0</v>
      </c>
      <c r="I231" s="152"/>
      <c r="J231" s="149"/>
      <c r="K231" s="306" t="s">
        <v>5</v>
      </c>
      <c r="L231" s="306"/>
      <c r="M231" s="154"/>
      <c r="N231" s="154"/>
      <c r="O231" s="155"/>
      <c r="P231" s="150" t="s">
        <v>56</v>
      </c>
      <c r="Q231" s="156">
        <f>รายวัน!T32</f>
        <v>0</v>
      </c>
      <c r="R231" s="152"/>
    </row>
    <row r="232" spans="1:18" ht="17.100000000000001" customHeight="1" x14ac:dyDescent="0.2">
      <c r="A232" s="149"/>
      <c r="B232" s="150" t="s">
        <v>6</v>
      </c>
      <c r="C232" s="150"/>
      <c r="D232" s="154">
        <f>ข้าราชการ!U161</f>
        <v>0</v>
      </c>
      <c r="E232" s="154"/>
      <c r="F232" s="155"/>
      <c r="G232" s="150" t="s">
        <v>57</v>
      </c>
      <c r="H232" s="156">
        <f>รายวัน!U18</f>
        <v>0</v>
      </c>
      <c r="I232" s="152"/>
      <c r="J232" s="149"/>
      <c r="K232" s="150" t="s">
        <v>6</v>
      </c>
      <c r="L232" s="150"/>
      <c r="M232" s="154">
        <f>ข้าราชการ!U97</f>
        <v>0</v>
      </c>
      <c r="N232" s="154"/>
      <c r="O232" s="155"/>
      <c r="P232" s="150" t="s">
        <v>57</v>
      </c>
      <c r="Q232" s="156">
        <f>รายวัน!U32</f>
        <v>0</v>
      </c>
      <c r="R232" s="152"/>
    </row>
    <row r="233" spans="1:18" ht="17.100000000000001" customHeight="1" x14ac:dyDescent="0.2">
      <c r="A233" s="149"/>
      <c r="B233" s="150" t="s">
        <v>7</v>
      </c>
      <c r="C233" s="150"/>
      <c r="D233" s="154">
        <v>0</v>
      </c>
      <c r="E233" s="154"/>
      <c r="F233" s="155"/>
      <c r="G233" s="150"/>
      <c r="H233" s="154"/>
      <c r="I233" s="152"/>
      <c r="J233" s="149"/>
      <c r="K233" s="150" t="s">
        <v>7</v>
      </c>
      <c r="L233" s="150"/>
      <c r="M233" s="154">
        <v>0</v>
      </c>
      <c r="N233" s="154"/>
      <c r="O233" s="155"/>
      <c r="P233" s="150"/>
      <c r="Q233" s="154"/>
      <c r="R233" s="152"/>
    </row>
    <row r="234" spans="1:18" ht="17.100000000000001" customHeight="1" x14ac:dyDescent="0.2">
      <c r="A234" s="149"/>
      <c r="B234" s="307" t="s">
        <v>101</v>
      </c>
      <c r="C234" s="307"/>
      <c r="D234" s="154">
        <f>SUM(D225:D233)</f>
        <v>0</v>
      </c>
      <c r="E234" s="154"/>
      <c r="F234" s="157"/>
      <c r="G234" s="147" t="s">
        <v>102</v>
      </c>
      <c r="H234" s="157">
        <f>SUM(H225:H233)</f>
        <v>0</v>
      </c>
      <c r="I234" s="152"/>
      <c r="J234" s="149"/>
      <c r="K234" s="307" t="s">
        <v>101</v>
      </c>
      <c r="L234" s="307"/>
      <c r="M234" s="154">
        <f>SUM(M225:M233)</f>
        <v>0</v>
      </c>
      <c r="N234" s="154"/>
      <c r="O234" s="157"/>
      <c r="P234" s="147" t="s">
        <v>102</v>
      </c>
      <c r="Q234" s="157">
        <f>SUM(Q225:Q233)</f>
        <v>0</v>
      </c>
      <c r="R234" s="152"/>
    </row>
    <row r="235" spans="1:18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  <c r="J235" s="149"/>
      <c r="K235" s="150"/>
      <c r="L235" s="147" t="s">
        <v>103</v>
      </c>
      <c r="M235" s="157">
        <f>M234-Q234</f>
        <v>0</v>
      </c>
      <c r="N235" s="157"/>
      <c r="O235" s="158" t="s">
        <v>104</v>
      </c>
      <c r="Q235" s="150"/>
      <c r="R235" s="152"/>
    </row>
    <row r="236" spans="1:18" ht="17.100000000000001" customHeight="1" x14ac:dyDescent="0.2">
      <c r="A236" s="149"/>
      <c r="C236" s="307" t="str">
        <f>"("&amp;BAHTTEXT(D235)&amp;")"</f>
        <v>(ศูนย์บาทถ้วน)</v>
      </c>
      <c r="D236" s="307"/>
      <c r="E236" s="307"/>
      <c r="F236" s="307"/>
      <c r="G236" s="307"/>
      <c r="I236" s="152"/>
      <c r="J236" s="149"/>
      <c r="L236" s="307" t="str">
        <f>"("&amp;BAHTTEXT(M235)&amp;")"</f>
        <v>(ศูนย์บาทถ้วน)</v>
      </c>
      <c r="M236" s="307"/>
      <c r="N236" s="307"/>
      <c r="O236" s="307"/>
      <c r="P236" s="307"/>
      <c r="R236" s="152"/>
    </row>
    <row r="237" spans="1:18" ht="17.100000000000001" customHeight="1" x14ac:dyDescent="0.2">
      <c r="A237" s="149"/>
      <c r="C237" s="147"/>
      <c r="D237" s="147"/>
      <c r="E237" s="147"/>
      <c r="F237" s="147"/>
      <c r="G237" s="147"/>
      <c r="I237" s="152"/>
      <c r="J237" s="149"/>
      <c r="L237" s="147"/>
      <c r="M237" s="147"/>
      <c r="N237" s="147"/>
      <c r="O237" s="147"/>
      <c r="P237" s="147"/>
      <c r="R237" s="152"/>
    </row>
    <row r="238" spans="1:18" ht="17.100000000000001" customHeight="1" x14ac:dyDescent="0.2">
      <c r="A238" s="149"/>
      <c r="C238" s="147"/>
      <c r="D238" s="147"/>
      <c r="E238" s="147"/>
      <c r="F238" s="147"/>
      <c r="G238" s="147"/>
      <c r="I238" s="152"/>
      <c r="J238" s="149"/>
      <c r="L238" s="147"/>
      <c r="M238" s="147"/>
      <c r="N238" s="147"/>
      <c r="O238" s="147"/>
      <c r="P238" s="147"/>
      <c r="R238" s="152"/>
    </row>
    <row r="239" spans="1:18" ht="17.100000000000001" customHeight="1" x14ac:dyDescent="0.2">
      <c r="A239" s="149"/>
      <c r="I239" s="152"/>
      <c r="J239" s="149"/>
      <c r="R239" s="152"/>
    </row>
    <row r="240" spans="1:18" ht="17.100000000000001" customHeight="1" x14ac:dyDescent="0.2">
      <c r="A240" s="149"/>
      <c r="I240" s="152"/>
      <c r="J240" s="149"/>
      <c r="R240" s="152"/>
    </row>
    <row r="241" spans="1:18" ht="17.100000000000001" customHeight="1" x14ac:dyDescent="0.2">
      <c r="A241" s="308" t="s">
        <v>315</v>
      </c>
      <c r="B241" s="307"/>
      <c r="C241" s="307"/>
      <c r="D241" s="307"/>
      <c r="E241" s="307"/>
      <c r="F241" s="307"/>
      <c r="G241" s="307"/>
      <c r="H241" s="307"/>
      <c r="I241" s="309"/>
      <c r="J241" s="308" t="s">
        <v>315</v>
      </c>
      <c r="K241" s="307"/>
      <c r="L241" s="307"/>
      <c r="M241" s="307"/>
      <c r="N241" s="307"/>
      <c r="O241" s="307"/>
      <c r="P241" s="307"/>
      <c r="Q241" s="307"/>
      <c r="R241" s="309"/>
    </row>
    <row r="242" spans="1:18" ht="17.100000000000001" customHeight="1" x14ac:dyDescent="0.2">
      <c r="A242" s="310" t="s">
        <v>298</v>
      </c>
      <c r="B242" s="311"/>
      <c r="C242" s="311"/>
      <c r="D242" s="311"/>
      <c r="E242" s="311"/>
      <c r="F242" s="311"/>
      <c r="G242" s="311"/>
      <c r="H242" s="311"/>
      <c r="I242" s="312"/>
      <c r="J242" s="310" t="s">
        <v>298</v>
      </c>
      <c r="K242" s="311"/>
      <c r="L242" s="311"/>
      <c r="M242" s="311"/>
      <c r="N242" s="311"/>
      <c r="O242" s="311"/>
      <c r="P242" s="311"/>
      <c r="Q242" s="311"/>
      <c r="R242" s="312"/>
    </row>
    <row r="243" spans="1:18" ht="17.100000000000001" customHeight="1" x14ac:dyDescent="0.2">
      <c r="A243" s="313" t="str">
        <f>รว!A1</f>
        <v>โรงพยาบาลสามโคก  ประจำเดือน  พฤศจิกายน  2568</v>
      </c>
      <c r="B243" s="314"/>
      <c r="C243" s="314"/>
      <c r="D243" s="314"/>
      <c r="E243" s="314"/>
      <c r="F243" s="314"/>
      <c r="G243" s="314"/>
      <c r="H243" s="314"/>
      <c r="I243" s="315"/>
      <c r="J243" s="313" t="str">
        <f>J221</f>
        <v>โรงพยาบาลสามโคก  ประจำเดือน  พฤศจิกายน  2568</v>
      </c>
      <c r="K243" s="314"/>
      <c r="L243" s="314"/>
      <c r="M243" s="314"/>
      <c r="N243" s="314"/>
      <c r="O243" s="314"/>
      <c r="P243" s="314"/>
      <c r="Q243" s="314"/>
      <c r="R243" s="315"/>
    </row>
    <row r="244" spans="1:18" ht="17.100000000000001" customHeight="1" x14ac:dyDescent="0.2">
      <c r="A244" s="308" t="s">
        <v>411</v>
      </c>
      <c r="B244" s="307"/>
      <c r="C244" s="307"/>
      <c r="D244" s="307"/>
      <c r="E244" s="307"/>
      <c r="F244" s="307"/>
      <c r="G244" s="307"/>
      <c r="H244" s="307"/>
      <c r="I244" s="309"/>
      <c r="J244" s="308" t="s">
        <v>487</v>
      </c>
      <c r="K244" s="307"/>
      <c r="L244" s="307"/>
      <c r="M244" s="307"/>
      <c r="N244" s="307"/>
      <c r="O244" s="307"/>
      <c r="P244" s="307"/>
      <c r="Q244" s="307"/>
      <c r="R244" s="309"/>
    </row>
    <row r="245" spans="1:18" ht="17.100000000000001" customHeight="1" x14ac:dyDescent="0.2">
      <c r="A245" s="149"/>
      <c r="B245" s="153"/>
      <c r="C245" s="150"/>
      <c r="D245" s="147"/>
      <c r="E245" s="147"/>
      <c r="F245" s="147"/>
      <c r="G245" s="150"/>
      <c r="H245" s="150"/>
      <c r="I245" s="152"/>
      <c r="J245" s="149"/>
      <c r="K245" s="153"/>
      <c r="L245" s="150"/>
      <c r="M245" s="147"/>
      <c r="N245" s="147"/>
      <c r="O245" s="147"/>
      <c r="P245" s="150"/>
      <c r="Q245" s="150"/>
      <c r="R245" s="152"/>
    </row>
    <row r="246" spans="1:18" ht="17.100000000000001" customHeight="1" x14ac:dyDescent="0.2">
      <c r="A246" s="149"/>
      <c r="B246" s="307" t="s">
        <v>9</v>
      </c>
      <c r="C246" s="307"/>
      <c r="D246" s="307"/>
      <c r="E246" s="147"/>
      <c r="F246" s="147"/>
      <c r="G246" s="147" t="s">
        <v>10</v>
      </c>
      <c r="H246" s="147"/>
      <c r="I246" s="152"/>
      <c r="J246" s="149"/>
      <c r="K246" s="307" t="s">
        <v>9</v>
      </c>
      <c r="L246" s="307"/>
      <c r="M246" s="307"/>
      <c r="N246" s="147"/>
      <c r="O246" s="147"/>
      <c r="P246" s="147" t="s">
        <v>10</v>
      </c>
      <c r="Q246" s="147"/>
      <c r="R246" s="152"/>
    </row>
    <row r="247" spans="1:18" ht="17.100000000000001" customHeight="1" x14ac:dyDescent="0.2">
      <c r="A247" s="149"/>
      <c r="B247" s="150" t="s">
        <v>3</v>
      </c>
      <c r="C247" s="150"/>
      <c r="D247" s="154">
        <f>รายวัน!E19</f>
        <v>0</v>
      </c>
      <c r="E247" s="154"/>
      <c r="F247" s="155"/>
      <c r="G247" s="150" t="s">
        <v>99</v>
      </c>
      <c r="H247" s="154">
        <v>0</v>
      </c>
      <c r="I247" s="152"/>
      <c r="J247" s="149"/>
      <c r="K247" s="150" t="s">
        <v>3</v>
      </c>
      <c r="L247" s="150"/>
      <c r="M247" s="154">
        <f>รายวัน!E33</f>
        <v>0</v>
      </c>
      <c r="N247" s="154"/>
      <c r="O247" s="155"/>
      <c r="P247" s="150" t="s">
        <v>99</v>
      </c>
      <c r="Q247" s="154">
        <f>ข้าราชการ!E401</f>
        <v>0</v>
      </c>
      <c r="R247" s="152"/>
    </row>
    <row r="248" spans="1:18" ht="17.100000000000001" customHeight="1" x14ac:dyDescent="0.2">
      <c r="A248" s="149"/>
      <c r="B248" s="150" t="s">
        <v>106</v>
      </c>
      <c r="C248" s="150"/>
      <c r="D248" s="154">
        <v>0</v>
      </c>
      <c r="E248" s="154"/>
      <c r="F248" s="155"/>
      <c r="G248" s="150" t="s">
        <v>116</v>
      </c>
      <c r="H248" s="154">
        <f>รายวัน!O19</f>
        <v>0</v>
      </c>
      <c r="I248" s="152"/>
      <c r="J248" s="149"/>
      <c r="K248" s="150" t="s">
        <v>106</v>
      </c>
      <c r="L248" s="150"/>
      <c r="M248" s="154">
        <v>0</v>
      </c>
      <c r="N248" s="154"/>
      <c r="O248" s="155"/>
      <c r="P248" s="150" t="s">
        <v>116</v>
      </c>
      <c r="Q248" s="154">
        <f>รายวัน!O33</f>
        <v>0</v>
      </c>
      <c r="R248" s="152"/>
    </row>
    <row r="249" spans="1:18" ht="17.100000000000001" customHeight="1" x14ac:dyDescent="0.2">
      <c r="A249" s="149"/>
      <c r="B249" s="306" t="s">
        <v>140</v>
      </c>
      <c r="C249" s="306"/>
      <c r="D249" s="154">
        <v>0</v>
      </c>
      <c r="E249" s="154"/>
      <c r="F249" s="155"/>
      <c r="G249" s="150" t="s">
        <v>54</v>
      </c>
      <c r="H249" s="154">
        <v>0</v>
      </c>
      <c r="I249" s="152"/>
      <c r="J249" s="149"/>
      <c r="K249" s="306" t="s">
        <v>140</v>
      </c>
      <c r="L249" s="306"/>
      <c r="M249" s="154">
        <v>0</v>
      </c>
      <c r="N249" s="154"/>
      <c r="O249" s="155"/>
      <c r="P249" s="150" t="s">
        <v>54</v>
      </c>
      <c r="Q249" s="154">
        <v>0</v>
      </c>
      <c r="R249" s="152"/>
    </row>
    <row r="250" spans="1:18" ht="17.100000000000001" customHeight="1" x14ac:dyDescent="0.2">
      <c r="A250" s="149"/>
      <c r="B250" s="306" t="s">
        <v>130</v>
      </c>
      <c r="C250" s="306"/>
      <c r="D250" s="154">
        <f>รายวัน!H19</f>
        <v>0</v>
      </c>
      <c r="E250" s="154"/>
      <c r="F250" s="155"/>
      <c r="G250" s="150" t="s">
        <v>100</v>
      </c>
      <c r="H250" s="154">
        <v>0</v>
      </c>
      <c r="I250" s="152"/>
      <c r="J250" s="149"/>
      <c r="K250" s="306" t="s">
        <v>130</v>
      </c>
      <c r="L250" s="306"/>
      <c r="M250" s="154">
        <f>รายวัน!H33</f>
        <v>0</v>
      </c>
      <c r="N250" s="154"/>
      <c r="O250" s="155"/>
      <c r="P250" s="150" t="s">
        <v>100</v>
      </c>
      <c r="Q250" s="154">
        <v>0</v>
      </c>
      <c r="R250" s="152"/>
    </row>
    <row r="251" spans="1:18" ht="17.100000000000001" customHeight="1" x14ac:dyDescent="0.2">
      <c r="A251" s="149"/>
      <c r="B251" s="306" t="s">
        <v>661</v>
      </c>
      <c r="C251" s="306"/>
      <c r="D251" s="154">
        <f>รายวัน!I19</f>
        <v>0</v>
      </c>
      <c r="E251" s="154"/>
      <c r="F251" s="155"/>
      <c r="G251" s="150" t="s">
        <v>55</v>
      </c>
      <c r="H251" s="156">
        <v>0</v>
      </c>
      <c r="I251" s="152"/>
      <c r="J251" s="149"/>
      <c r="K251" s="306" t="s">
        <v>661</v>
      </c>
      <c r="L251" s="306"/>
      <c r="M251" s="154">
        <f>รายวัน!I33</f>
        <v>0</v>
      </c>
      <c r="N251" s="154"/>
      <c r="O251" s="155"/>
      <c r="P251" s="150" t="s">
        <v>55</v>
      </c>
      <c r="Q251" s="156">
        <v>0</v>
      </c>
      <c r="R251" s="152"/>
    </row>
    <row r="252" spans="1:18" ht="17.100000000000001" customHeight="1" x14ac:dyDescent="0.2">
      <c r="A252" s="149"/>
      <c r="B252" s="306" t="s">
        <v>662</v>
      </c>
      <c r="C252" s="306"/>
      <c r="D252" s="154">
        <f>รายวัน!J19</f>
        <v>0</v>
      </c>
      <c r="E252" s="154"/>
      <c r="F252" s="155"/>
      <c r="G252" s="153" t="s">
        <v>137</v>
      </c>
      <c r="H252" s="156">
        <v>0</v>
      </c>
      <c r="I252" s="152"/>
      <c r="J252" s="149"/>
      <c r="K252" s="306" t="s">
        <v>662</v>
      </c>
      <c r="L252" s="306"/>
      <c r="M252" s="154">
        <f>รายวัน!J33</f>
        <v>0</v>
      </c>
      <c r="N252" s="154"/>
      <c r="O252" s="155"/>
      <c r="P252" s="153" t="s">
        <v>377</v>
      </c>
      <c r="Q252" s="156">
        <f>รายวัน!S33</f>
        <v>0</v>
      </c>
      <c r="R252" s="152"/>
    </row>
    <row r="253" spans="1:18" ht="17.100000000000001" customHeight="1" x14ac:dyDescent="0.2">
      <c r="A253" s="149"/>
      <c r="B253" s="306" t="s">
        <v>5</v>
      </c>
      <c r="C253" s="306"/>
      <c r="D253" s="154">
        <f>รายวัน!K19</f>
        <v>0</v>
      </c>
      <c r="E253" s="154"/>
      <c r="F253" s="155"/>
      <c r="G253" s="150" t="s">
        <v>56</v>
      </c>
      <c r="H253" s="156">
        <v>0</v>
      </c>
      <c r="I253" s="152"/>
      <c r="J253" s="149"/>
      <c r="K253" s="306" t="s">
        <v>5</v>
      </c>
      <c r="L253" s="306"/>
      <c r="M253" s="154">
        <v>0</v>
      </c>
      <c r="N253" s="154"/>
      <c r="O253" s="155"/>
      <c r="P253" s="150" t="s">
        <v>56</v>
      </c>
      <c r="Q253" s="156">
        <f>รายวัน!T33</f>
        <v>0</v>
      </c>
      <c r="R253" s="152"/>
    </row>
    <row r="254" spans="1:18" ht="17.100000000000001" customHeight="1" x14ac:dyDescent="0.2">
      <c r="A254" s="149"/>
      <c r="B254" s="150" t="s">
        <v>6</v>
      </c>
      <c r="C254" s="150"/>
      <c r="D254" s="154">
        <v>0</v>
      </c>
      <c r="E254" s="154"/>
      <c r="F254" s="155"/>
      <c r="G254" s="150" t="s">
        <v>57</v>
      </c>
      <c r="H254" s="156">
        <v>0</v>
      </c>
      <c r="I254" s="152"/>
      <c r="J254" s="149"/>
      <c r="K254" s="150" t="s">
        <v>6</v>
      </c>
      <c r="L254" s="150"/>
      <c r="M254" s="154">
        <f>ข้าราชการ!C401</f>
        <v>0</v>
      </c>
      <c r="N254" s="154"/>
      <c r="O254" s="155"/>
      <c r="P254" s="150" t="s">
        <v>57</v>
      </c>
      <c r="Q254" s="156">
        <f>รายวัน!U33</f>
        <v>0</v>
      </c>
      <c r="R254" s="152"/>
    </row>
    <row r="255" spans="1:18" ht="17.100000000000001" customHeight="1" x14ac:dyDescent="0.2">
      <c r="A255" s="149"/>
      <c r="B255" s="150" t="s">
        <v>7</v>
      </c>
      <c r="C255" s="150"/>
      <c r="D255" s="154">
        <v>0</v>
      </c>
      <c r="E255" s="154"/>
      <c r="F255" s="155"/>
      <c r="G255" s="150"/>
      <c r="H255" s="154"/>
      <c r="I255" s="152"/>
      <c r="J255" s="149"/>
      <c r="K255" s="150" t="s">
        <v>7</v>
      </c>
      <c r="L255" s="150"/>
      <c r="M255" s="154">
        <v>0</v>
      </c>
      <c r="N255" s="154"/>
      <c r="O255" s="155"/>
      <c r="P255" s="150"/>
      <c r="Q255" s="154"/>
      <c r="R255" s="152"/>
    </row>
    <row r="256" spans="1:18" ht="17.100000000000001" customHeight="1" x14ac:dyDescent="0.2">
      <c r="A256" s="149"/>
      <c r="B256" s="307" t="s">
        <v>101</v>
      </c>
      <c r="C256" s="307"/>
      <c r="D256" s="154">
        <f>SUM(D247:D255)</f>
        <v>0</v>
      </c>
      <c r="E256" s="154"/>
      <c r="F256" s="157"/>
      <c r="G256" s="147" t="s">
        <v>102</v>
      </c>
      <c r="H256" s="157">
        <f>SUM(H247:H255)</f>
        <v>0</v>
      </c>
      <c r="I256" s="152"/>
      <c r="J256" s="149"/>
      <c r="K256" s="307" t="s">
        <v>101</v>
      </c>
      <c r="L256" s="307"/>
      <c r="M256" s="154">
        <f>SUM(M247:M255)</f>
        <v>0</v>
      </c>
      <c r="N256" s="154"/>
      <c r="O256" s="157"/>
      <c r="P256" s="147" t="s">
        <v>102</v>
      </c>
      <c r="Q256" s="157">
        <f>SUM(Q247:Q255)</f>
        <v>0</v>
      </c>
      <c r="R256" s="152"/>
    </row>
    <row r="257" spans="1:18" ht="17.100000000000001" customHeight="1" x14ac:dyDescent="0.2">
      <c r="A257" s="149"/>
      <c r="B257" s="150"/>
      <c r="C257" s="147" t="s">
        <v>103</v>
      </c>
      <c r="D257" s="157">
        <f>D256-H256</f>
        <v>0</v>
      </c>
      <c r="E257" s="157"/>
      <c r="F257" s="158" t="s">
        <v>104</v>
      </c>
      <c r="H257" s="150"/>
      <c r="I257" s="152"/>
      <c r="J257" s="149"/>
      <c r="K257" s="150"/>
      <c r="L257" s="147" t="s">
        <v>103</v>
      </c>
      <c r="M257" s="157">
        <f>M256-Q256</f>
        <v>0</v>
      </c>
      <c r="N257" s="157"/>
      <c r="O257" s="158" t="s">
        <v>104</v>
      </c>
      <c r="Q257" s="150"/>
      <c r="R257" s="152"/>
    </row>
    <row r="258" spans="1:18" ht="17.100000000000001" customHeight="1" x14ac:dyDescent="0.2">
      <c r="A258" s="149"/>
      <c r="C258" s="307" t="str">
        <f>"("&amp;BAHTTEXT(D257)&amp;")"</f>
        <v>(ศูนย์บาทถ้วน)</v>
      </c>
      <c r="D258" s="307"/>
      <c r="E258" s="307"/>
      <c r="F258" s="307"/>
      <c r="G258" s="307"/>
      <c r="I258" s="152"/>
      <c r="J258" s="149"/>
      <c r="L258" s="307" t="str">
        <f>"("&amp;BAHTTEXT(M257)&amp;")"</f>
        <v>(ศูนย์บาทถ้วน)</v>
      </c>
      <c r="M258" s="307"/>
      <c r="N258" s="307"/>
      <c r="O258" s="307"/>
      <c r="P258" s="307"/>
      <c r="R258" s="152"/>
    </row>
    <row r="259" spans="1:18" ht="17.100000000000001" customHeight="1" x14ac:dyDescent="0.2">
      <c r="A259" s="149"/>
      <c r="C259" s="147"/>
      <c r="D259" s="147"/>
      <c r="E259" s="147"/>
      <c r="F259" s="147"/>
      <c r="G259" s="147"/>
      <c r="I259" s="152"/>
      <c r="J259" s="149"/>
      <c r="L259" s="147"/>
      <c r="M259" s="147"/>
      <c r="N259" s="147"/>
      <c r="O259" s="147"/>
      <c r="P259" s="147"/>
      <c r="R259" s="152"/>
    </row>
    <row r="260" spans="1:18" ht="17.100000000000001" customHeight="1" x14ac:dyDescent="0.2">
      <c r="A260" s="149"/>
      <c r="C260" s="147"/>
      <c r="D260" s="147"/>
      <c r="E260" s="147"/>
      <c r="F260" s="147"/>
      <c r="G260" s="147"/>
      <c r="I260" s="152"/>
      <c r="J260" s="149"/>
      <c r="L260" s="147"/>
      <c r="M260" s="147"/>
      <c r="N260" s="147"/>
      <c r="O260" s="147"/>
      <c r="P260" s="147"/>
      <c r="R260" s="152"/>
    </row>
    <row r="261" spans="1:18" ht="17.100000000000001" customHeight="1" x14ac:dyDescent="0.2">
      <c r="A261" s="149"/>
      <c r="I261" s="152"/>
      <c r="J261" s="149"/>
      <c r="R261" s="152"/>
    </row>
    <row r="262" spans="1:18" ht="17.100000000000001" customHeight="1" x14ac:dyDescent="0.2">
      <c r="A262" s="149"/>
      <c r="I262" s="152"/>
      <c r="J262" s="149"/>
      <c r="R262" s="152"/>
    </row>
    <row r="263" spans="1:18" ht="17.100000000000001" customHeight="1" x14ac:dyDescent="0.2">
      <c r="A263" s="308" t="s">
        <v>315</v>
      </c>
      <c r="B263" s="307"/>
      <c r="C263" s="307"/>
      <c r="D263" s="307"/>
      <c r="E263" s="307"/>
      <c r="F263" s="307"/>
      <c r="G263" s="307"/>
      <c r="H263" s="307"/>
      <c r="I263" s="309"/>
      <c r="J263" s="308" t="s">
        <v>315</v>
      </c>
      <c r="K263" s="307"/>
      <c r="L263" s="307"/>
      <c r="M263" s="307"/>
      <c r="N263" s="307"/>
      <c r="O263" s="307"/>
      <c r="P263" s="307"/>
      <c r="Q263" s="307"/>
      <c r="R263" s="309"/>
    </row>
    <row r="264" spans="1:18" ht="17.100000000000001" customHeight="1" x14ac:dyDescent="0.2">
      <c r="A264" s="310" t="s">
        <v>298</v>
      </c>
      <c r="B264" s="311"/>
      <c r="C264" s="311"/>
      <c r="D264" s="311"/>
      <c r="E264" s="311"/>
      <c r="F264" s="311"/>
      <c r="G264" s="311"/>
      <c r="H264" s="311"/>
      <c r="I264" s="312"/>
      <c r="J264" s="310" t="s">
        <v>298</v>
      </c>
      <c r="K264" s="311"/>
      <c r="L264" s="311"/>
      <c r="M264" s="311"/>
      <c r="N264" s="311"/>
      <c r="O264" s="311"/>
      <c r="P264" s="311"/>
      <c r="Q264" s="311"/>
      <c r="R264" s="312"/>
    </row>
  </sheetData>
  <mergeCells count="293">
    <mergeCell ref="J264:R264"/>
    <mergeCell ref="K246:M246"/>
    <mergeCell ref="K249:L249"/>
    <mergeCell ref="K250:L250"/>
    <mergeCell ref="L258:P258"/>
    <mergeCell ref="K251:L251"/>
    <mergeCell ref="K252:L252"/>
    <mergeCell ref="K253:L253"/>
    <mergeCell ref="K256:L256"/>
    <mergeCell ref="K229:L229"/>
    <mergeCell ref="K230:L230"/>
    <mergeCell ref="K231:L231"/>
    <mergeCell ref="K234:L234"/>
    <mergeCell ref="K162:L162"/>
    <mergeCell ref="K180:M180"/>
    <mergeCell ref="J153:R153"/>
    <mergeCell ref="J263:R263"/>
    <mergeCell ref="J242:R242"/>
    <mergeCell ref="J243:R243"/>
    <mergeCell ref="L236:P236"/>
    <mergeCell ref="J241:R241"/>
    <mergeCell ref="J221:R221"/>
    <mergeCell ref="K224:M224"/>
    <mergeCell ref="K205:L205"/>
    <mergeCell ref="K207:L207"/>
    <mergeCell ref="J220:R220"/>
    <mergeCell ref="L214:P214"/>
    <mergeCell ref="J219:R219"/>
    <mergeCell ref="K208:L208"/>
    <mergeCell ref="K227:L227"/>
    <mergeCell ref="K228:L228"/>
    <mergeCell ref="K209:L209"/>
    <mergeCell ref="K212:L212"/>
    <mergeCell ref="B208:C208"/>
    <mergeCell ref="B186:C186"/>
    <mergeCell ref="B183:C183"/>
    <mergeCell ref="J177:R177"/>
    <mergeCell ref="J176:R176"/>
    <mergeCell ref="J175:R175"/>
    <mergeCell ref="K163:L163"/>
    <mergeCell ref="J199:R199"/>
    <mergeCell ref="J198:R198"/>
    <mergeCell ref="K183:L183"/>
    <mergeCell ref="B164:C164"/>
    <mergeCell ref="B165:C165"/>
    <mergeCell ref="J197:R197"/>
    <mergeCell ref="K202:M202"/>
    <mergeCell ref="K206:L206"/>
    <mergeCell ref="K185:L185"/>
    <mergeCell ref="B202:D202"/>
    <mergeCell ref="B205:C205"/>
    <mergeCell ref="B206:C206"/>
    <mergeCell ref="C170:G170"/>
    <mergeCell ref="C192:G192"/>
    <mergeCell ref="B168:C168"/>
    <mergeCell ref="A200:I200"/>
    <mergeCell ref="A222:I222"/>
    <mergeCell ref="L148:P148"/>
    <mergeCell ref="K186:L186"/>
    <mergeCell ref="K187:L187"/>
    <mergeCell ref="K190:L190"/>
    <mergeCell ref="L192:P192"/>
    <mergeCell ref="K184:L184"/>
    <mergeCell ref="K161:L161"/>
    <mergeCell ref="K143:L143"/>
    <mergeCell ref="K146:L146"/>
    <mergeCell ref="A178:I178"/>
    <mergeCell ref="K165:L165"/>
    <mergeCell ref="K168:L168"/>
    <mergeCell ref="L170:P170"/>
    <mergeCell ref="K158:M158"/>
    <mergeCell ref="K164:L164"/>
    <mergeCell ref="A175:I175"/>
    <mergeCell ref="A176:I176"/>
    <mergeCell ref="B162:C162"/>
    <mergeCell ref="J155:R155"/>
    <mergeCell ref="J154:R154"/>
    <mergeCell ref="B158:D158"/>
    <mergeCell ref="B161:C161"/>
    <mergeCell ref="A154:I154"/>
    <mergeCell ref="J222:R222"/>
    <mergeCell ref="K139:L139"/>
    <mergeCell ref="K98:L98"/>
    <mergeCell ref="L82:P82"/>
    <mergeCell ref="K97:L97"/>
    <mergeCell ref="K96:L96"/>
    <mergeCell ref="K102:L102"/>
    <mergeCell ref="L104:P104"/>
    <mergeCell ref="K119:L119"/>
    <mergeCell ref="L126:P126"/>
    <mergeCell ref="K118:L118"/>
    <mergeCell ref="K114:M114"/>
    <mergeCell ref="J133:R133"/>
    <mergeCell ref="K117:L117"/>
    <mergeCell ref="K120:L120"/>
    <mergeCell ref="J110:R110"/>
    <mergeCell ref="K99:L99"/>
    <mergeCell ref="K121:L121"/>
    <mergeCell ref="K124:L124"/>
    <mergeCell ref="J132:R132"/>
    <mergeCell ref="J131:R131"/>
    <mergeCell ref="J109:R109"/>
    <mergeCell ref="K136:M136"/>
    <mergeCell ref="K140:L140"/>
    <mergeCell ref="B4:D4"/>
    <mergeCell ref="G4:H4"/>
    <mergeCell ref="B5:C5"/>
    <mergeCell ref="B8:C8"/>
    <mergeCell ref="A156:I156"/>
    <mergeCell ref="A134:I134"/>
    <mergeCell ref="J156:R156"/>
    <mergeCell ref="J24:R24"/>
    <mergeCell ref="J46:R46"/>
    <mergeCell ref="C126:G126"/>
    <mergeCell ref="A46:I46"/>
    <mergeCell ref="A131:I131"/>
    <mergeCell ref="A132:I132"/>
    <mergeCell ref="B118:C118"/>
    <mergeCell ref="K141:L141"/>
    <mergeCell ref="K142:L142"/>
    <mergeCell ref="A68:I68"/>
    <mergeCell ref="J89:R89"/>
    <mergeCell ref="K95:L95"/>
    <mergeCell ref="K92:M92"/>
    <mergeCell ref="J87:R87"/>
    <mergeCell ref="J88:R88"/>
    <mergeCell ref="B33:C33"/>
    <mergeCell ref="K80:L80"/>
    <mergeCell ref="J1:R1"/>
    <mergeCell ref="K4:M4"/>
    <mergeCell ref="K7:L7"/>
    <mergeCell ref="K8:L8"/>
    <mergeCell ref="K9:L9"/>
    <mergeCell ref="K10:L10"/>
    <mergeCell ref="K11:L11"/>
    <mergeCell ref="K14:L14"/>
    <mergeCell ref="K77:L77"/>
    <mergeCell ref="K74:L74"/>
    <mergeCell ref="L16:P16"/>
    <mergeCell ref="J21:R21"/>
    <mergeCell ref="L38:P38"/>
    <mergeCell ref="J43:R43"/>
    <mergeCell ref="K32:L32"/>
    <mergeCell ref="K33:L33"/>
    <mergeCell ref="K36:L36"/>
    <mergeCell ref="J2:R2"/>
    <mergeCell ref="J23:R23"/>
    <mergeCell ref="K26:M26"/>
    <mergeCell ref="J45:R45"/>
    <mergeCell ref="K48:M48"/>
    <mergeCell ref="J44:R44"/>
    <mergeCell ref="K76:L76"/>
    <mergeCell ref="J67:R67"/>
    <mergeCell ref="K55:L55"/>
    <mergeCell ref="K58:L58"/>
    <mergeCell ref="L60:P60"/>
    <mergeCell ref="J65:R65"/>
    <mergeCell ref="J66:R66"/>
    <mergeCell ref="A44:I44"/>
    <mergeCell ref="A45:I45"/>
    <mergeCell ref="B48:D48"/>
    <mergeCell ref="A23:I23"/>
    <mergeCell ref="B234:C234"/>
    <mergeCell ref="A263:I263"/>
    <mergeCell ref="A264:I264"/>
    <mergeCell ref="B253:C253"/>
    <mergeCell ref="B256:C256"/>
    <mergeCell ref="C258:G258"/>
    <mergeCell ref="B212:C212"/>
    <mergeCell ref="B209:C209"/>
    <mergeCell ref="C214:G214"/>
    <mergeCell ref="A219:I219"/>
    <mergeCell ref="A220:I220"/>
    <mergeCell ref="A243:I243"/>
    <mergeCell ref="B250:C250"/>
    <mergeCell ref="B251:C251"/>
    <mergeCell ref="B252:C252"/>
    <mergeCell ref="B246:D246"/>
    <mergeCell ref="B249:C249"/>
    <mergeCell ref="C236:G236"/>
    <mergeCell ref="A241:I241"/>
    <mergeCell ref="B229:C229"/>
    <mergeCell ref="B230:C230"/>
    <mergeCell ref="B224:D224"/>
    <mergeCell ref="A221:I221"/>
    <mergeCell ref="A242:I242"/>
    <mergeCell ref="B139:C139"/>
    <mergeCell ref="A197:I197"/>
    <mergeCell ref="B231:C231"/>
    <mergeCell ref="A112:I112"/>
    <mergeCell ref="B140:C140"/>
    <mergeCell ref="B141:C141"/>
    <mergeCell ref="B142:C142"/>
    <mergeCell ref="B143:C143"/>
    <mergeCell ref="C148:G148"/>
    <mergeCell ref="A198:I198"/>
    <mergeCell ref="B180:D180"/>
    <mergeCell ref="B184:C184"/>
    <mergeCell ref="A177:I177"/>
    <mergeCell ref="A199:I199"/>
    <mergeCell ref="B187:C187"/>
    <mergeCell ref="B190:C190"/>
    <mergeCell ref="B207:C207"/>
    <mergeCell ref="A155:I155"/>
    <mergeCell ref="B185:C185"/>
    <mergeCell ref="A153:I153"/>
    <mergeCell ref="B227:C227"/>
    <mergeCell ref="B228:C228"/>
    <mergeCell ref="B163:C163"/>
    <mergeCell ref="K30:L30"/>
    <mergeCell ref="B26:D26"/>
    <mergeCell ref="B29:C29"/>
    <mergeCell ref="B31:C31"/>
    <mergeCell ref="C38:G38"/>
    <mergeCell ref="A43:I43"/>
    <mergeCell ref="B36:C36"/>
    <mergeCell ref="B32:C32"/>
    <mergeCell ref="B30:C30"/>
    <mergeCell ref="K31:L31"/>
    <mergeCell ref="A2:I2"/>
    <mergeCell ref="K54:L54"/>
    <mergeCell ref="C82:G82"/>
    <mergeCell ref="B73:C73"/>
    <mergeCell ref="B77:C77"/>
    <mergeCell ref="K51:L51"/>
    <mergeCell ref="K52:L52"/>
    <mergeCell ref="K70:M70"/>
    <mergeCell ref="K73:L73"/>
    <mergeCell ref="K53:L53"/>
    <mergeCell ref="K75:L75"/>
    <mergeCell ref="B6:C6"/>
    <mergeCell ref="A21:I21"/>
    <mergeCell ref="A22:I22"/>
    <mergeCell ref="B7:C7"/>
    <mergeCell ref="B10:C10"/>
    <mergeCell ref="B11:C11"/>
    <mergeCell ref="B12:C12"/>
    <mergeCell ref="B13:C13"/>
    <mergeCell ref="B14:C14"/>
    <mergeCell ref="C16:G16"/>
    <mergeCell ref="B9:C9"/>
    <mergeCell ref="J22:R22"/>
    <mergeCell ref="K29:L29"/>
    <mergeCell ref="A88:I88"/>
    <mergeCell ref="B96:C96"/>
    <mergeCell ref="B97:C97"/>
    <mergeCell ref="B98:C98"/>
    <mergeCell ref="B99:C99"/>
    <mergeCell ref="B55:C55"/>
    <mergeCell ref="B74:C74"/>
    <mergeCell ref="A87:I87"/>
    <mergeCell ref="B80:C80"/>
    <mergeCell ref="A90:I90"/>
    <mergeCell ref="B70:D70"/>
    <mergeCell ref="A66:I66"/>
    <mergeCell ref="B76:C76"/>
    <mergeCell ref="B75:C75"/>
    <mergeCell ref="B120:C120"/>
    <mergeCell ref="B121:C121"/>
    <mergeCell ref="B124:C124"/>
    <mergeCell ref="A133:I133"/>
    <mergeCell ref="A111:I111"/>
    <mergeCell ref="B102:C102"/>
    <mergeCell ref="C104:G104"/>
    <mergeCell ref="B114:D114"/>
    <mergeCell ref="J112:R112"/>
    <mergeCell ref="J111:R111"/>
    <mergeCell ref="A109:I109"/>
    <mergeCell ref="A110:I110"/>
    <mergeCell ref="A1:I1"/>
    <mergeCell ref="A244:I244"/>
    <mergeCell ref="J90:R90"/>
    <mergeCell ref="J134:R134"/>
    <mergeCell ref="J178:R178"/>
    <mergeCell ref="J200:R200"/>
    <mergeCell ref="J244:R244"/>
    <mergeCell ref="J68:R68"/>
    <mergeCell ref="B146:C146"/>
    <mergeCell ref="C60:G60"/>
    <mergeCell ref="B51:C51"/>
    <mergeCell ref="A67:I67"/>
    <mergeCell ref="B52:C52"/>
    <mergeCell ref="B58:C58"/>
    <mergeCell ref="A65:I65"/>
    <mergeCell ref="B53:C53"/>
    <mergeCell ref="B54:C54"/>
    <mergeCell ref="A89:I89"/>
    <mergeCell ref="B92:D92"/>
    <mergeCell ref="B95:C95"/>
    <mergeCell ref="B119:C119"/>
    <mergeCell ref="B117:C117"/>
    <mergeCell ref="A24:I24"/>
    <mergeCell ref="B136:D136"/>
  </mergeCells>
  <pageMargins left="0.23622047244094491" right="0" top="0.31496062992125984" bottom="0" header="0" footer="0"/>
  <pageSetup paperSize="11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 tint="0.39997558519241921"/>
  </sheetPr>
  <dimension ref="A1:R330"/>
  <sheetViews>
    <sheetView topLeftCell="A223" zoomScale="80" zoomScaleNormal="80" workbookViewId="0">
      <selection activeCell="B230" sqref="B230:C230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75" style="145" customWidth="1"/>
    <col min="7" max="7" width="24.75" style="145" customWidth="1"/>
    <col min="8" max="8" width="12.625" style="145" customWidth="1"/>
    <col min="9" max="10" width="5.625" style="145" customWidth="1"/>
    <col min="11" max="11" width="3.75" style="145" customWidth="1"/>
    <col min="12" max="12" width="21.625" style="145" customWidth="1"/>
    <col min="13" max="13" width="12.625" style="145" customWidth="1"/>
    <col min="14" max="15" width="3.75" style="145" customWidth="1"/>
    <col min="16" max="16" width="24.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313" t="str">
        <f>รว!J199</f>
        <v>โรงพยาบาลสามโคก  ประจำเดือน  พฤศจิกายน  2568</v>
      </c>
      <c r="B1" s="314"/>
      <c r="C1" s="314"/>
      <c r="D1" s="314"/>
      <c r="E1" s="314"/>
      <c r="F1" s="314"/>
      <c r="G1" s="314"/>
      <c r="H1" s="314"/>
      <c r="I1" s="315"/>
      <c r="J1" s="313" t="str">
        <f>รว!J221</f>
        <v>โรงพยาบาลสามโคก  ประจำเดือน  พฤศจิกายน  2568</v>
      </c>
      <c r="K1" s="314"/>
      <c r="L1" s="314"/>
      <c r="M1" s="314"/>
      <c r="N1" s="314"/>
      <c r="O1" s="314"/>
      <c r="P1" s="314"/>
      <c r="Q1" s="314"/>
      <c r="R1" s="315"/>
    </row>
    <row r="2" spans="1:18" ht="17.100000000000001" customHeight="1" x14ac:dyDescent="0.2">
      <c r="A2" s="308" t="s">
        <v>498</v>
      </c>
      <c r="B2" s="307"/>
      <c r="C2" s="307"/>
      <c r="D2" s="307"/>
      <c r="E2" s="307"/>
      <c r="F2" s="307"/>
      <c r="G2" s="307"/>
      <c r="H2" s="307"/>
      <c r="I2" s="309"/>
      <c r="J2" s="308" t="s">
        <v>626</v>
      </c>
      <c r="K2" s="307"/>
      <c r="L2" s="307"/>
      <c r="M2" s="307"/>
      <c r="N2" s="307"/>
      <c r="O2" s="307"/>
      <c r="P2" s="307"/>
      <c r="Q2" s="307"/>
      <c r="R2" s="309"/>
    </row>
    <row r="3" spans="1:18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  <c r="J3" s="149"/>
      <c r="K3" s="153"/>
      <c r="L3" s="150"/>
      <c r="M3" s="147"/>
      <c r="N3" s="147"/>
      <c r="O3" s="147"/>
      <c r="P3" s="150"/>
      <c r="Q3" s="150"/>
      <c r="R3" s="152"/>
    </row>
    <row r="4" spans="1:18" ht="17.100000000000001" customHeight="1" x14ac:dyDescent="0.2">
      <c r="A4" s="149"/>
      <c r="B4" s="307" t="s">
        <v>9</v>
      </c>
      <c r="C4" s="307"/>
      <c r="D4" s="307"/>
      <c r="E4" s="147"/>
      <c r="F4" s="147"/>
      <c r="G4" s="147" t="s">
        <v>10</v>
      </c>
      <c r="H4" s="147"/>
      <c r="I4" s="152"/>
      <c r="J4" s="149"/>
      <c r="K4" s="307" t="s">
        <v>9</v>
      </c>
      <c r="L4" s="307"/>
      <c r="M4" s="307"/>
      <c r="N4" s="147"/>
      <c r="O4" s="147"/>
      <c r="P4" s="147" t="s">
        <v>10</v>
      </c>
      <c r="Q4" s="147"/>
      <c r="R4" s="152"/>
    </row>
    <row r="5" spans="1:18" ht="17.100000000000001" customHeight="1" x14ac:dyDescent="0.2">
      <c r="A5" s="149"/>
      <c r="B5" s="150" t="s">
        <v>3</v>
      </c>
      <c r="C5" s="150"/>
      <c r="D5" s="154">
        <f>รายวัน!E34</f>
        <v>0</v>
      </c>
      <c r="E5" s="154"/>
      <c r="F5" s="155"/>
      <c r="G5" s="150" t="s">
        <v>99</v>
      </c>
      <c r="H5" s="154">
        <f>ข้าราชการ!E423</f>
        <v>0</v>
      </c>
      <c r="I5" s="152"/>
      <c r="J5" s="149"/>
      <c r="K5" s="150" t="s">
        <v>3</v>
      </c>
      <c r="L5" s="150"/>
      <c r="M5" s="154">
        <f>รายวัน!E51</f>
        <v>0</v>
      </c>
      <c r="N5" s="154"/>
      <c r="O5" s="155"/>
      <c r="P5" s="150" t="s">
        <v>99</v>
      </c>
      <c r="Q5" s="154">
        <v>0</v>
      </c>
      <c r="R5" s="152"/>
    </row>
    <row r="6" spans="1:18" ht="17.100000000000001" customHeight="1" x14ac:dyDescent="0.2">
      <c r="A6" s="149"/>
      <c r="B6" s="150" t="s">
        <v>106</v>
      </c>
      <c r="C6" s="150"/>
      <c r="D6" s="154">
        <v>0</v>
      </c>
      <c r="E6" s="154"/>
      <c r="F6" s="155"/>
      <c r="G6" s="150" t="s">
        <v>116</v>
      </c>
      <c r="H6" s="154">
        <f>รายวัน!O34</f>
        <v>0</v>
      </c>
      <c r="I6" s="152"/>
      <c r="J6" s="149"/>
      <c r="K6" s="150" t="s">
        <v>106</v>
      </c>
      <c r="L6" s="150"/>
      <c r="M6" s="154">
        <v>0</v>
      </c>
      <c r="N6" s="154"/>
      <c r="O6" s="155"/>
      <c r="P6" s="150" t="s">
        <v>116</v>
      </c>
      <c r="Q6" s="154">
        <f>รายวัน!O51</f>
        <v>0</v>
      </c>
      <c r="R6" s="152"/>
    </row>
    <row r="7" spans="1:18" ht="17.100000000000001" customHeight="1" x14ac:dyDescent="0.2">
      <c r="A7" s="149"/>
      <c r="B7" s="306" t="s">
        <v>140</v>
      </c>
      <c r="C7" s="306"/>
      <c r="D7" s="154">
        <v>0</v>
      </c>
      <c r="E7" s="154"/>
      <c r="F7" s="155"/>
      <c r="G7" s="150" t="s">
        <v>54</v>
      </c>
      <c r="H7" s="154">
        <v>0</v>
      </c>
      <c r="I7" s="152"/>
      <c r="J7" s="149"/>
      <c r="K7" s="306" t="s">
        <v>140</v>
      </c>
      <c r="L7" s="306"/>
      <c r="M7" s="154">
        <v>0</v>
      </c>
      <c r="N7" s="154"/>
      <c r="O7" s="155"/>
      <c r="P7" s="150" t="s">
        <v>54</v>
      </c>
      <c r="Q7" s="154">
        <v>0</v>
      </c>
      <c r="R7" s="152"/>
    </row>
    <row r="8" spans="1:18" ht="17.100000000000001" customHeight="1" x14ac:dyDescent="0.2">
      <c r="A8" s="149"/>
      <c r="B8" s="306" t="s">
        <v>130</v>
      </c>
      <c r="C8" s="306"/>
      <c r="D8" s="154">
        <f>รายวัน!H34</f>
        <v>0</v>
      </c>
      <c r="E8" s="154"/>
      <c r="F8" s="155"/>
      <c r="G8" s="150" t="s">
        <v>100</v>
      </c>
      <c r="H8" s="154">
        <v>0</v>
      </c>
      <c r="I8" s="152"/>
      <c r="J8" s="149"/>
      <c r="K8" s="306" t="s">
        <v>130</v>
      </c>
      <c r="L8" s="306"/>
      <c r="M8" s="154">
        <f>รายวัน!H51</f>
        <v>0</v>
      </c>
      <c r="N8" s="154"/>
      <c r="O8" s="155"/>
      <c r="P8" s="150" t="s">
        <v>100</v>
      </c>
      <c r="Q8" s="154">
        <v>0</v>
      </c>
      <c r="R8" s="152"/>
    </row>
    <row r="9" spans="1:18" ht="17.100000000000001" customHeight="1" x14ac:dyDescent="0.2">
      <c r="A9" s="149"/>
      <c r="B9" s="306" t="s">
        <v>661</v>
      </c>
      <c r="C9" s="306"/>
      <c r="D9" s="154">
        <f>รายวัน!I34</f>
        <v>0</v>
      </c>
      <c r="E9" s="154"/>
      <c r="F9" s="155"/>
      <c r="G9" s="150" t="s">
        <v>55</v>
      </c>
      <c r="H9" s="156">
        <v>0</v>
      </c>
      <c r="I9" s="152"/>
      <c r="J9" s="149"/>
      <c r="K9" s="306" t="s">
        <v>661</v>
      </c>
      <c r="L9" s="306"/>
      <c r="M9" s="154">
        <f>รายวัน!I51</f>
        <v>0</v>
      </c>
      <c r="N9" s="154"/>
      <c r="O9" s="155"/>
      <c r="P9" s="150" t="s">
        <v>55</v>
      </c>
      <c r="Q9" s="156">
        <v>0</v>
      </c>
      <c r="R9" s="152"/>
    </row>
    <row r="10" spans="1:18" ht="17.100000000000001" customHeight="1" x14ac:dyDescent="0.2">
      <c r="A10" s="149"/>
      <c r="B10" s="306" t="s">
        <v>120</v>
      </c>
      <c r="C10" s="306"/>
      <c r="D10" s="154">
        <f>รายวัน!J34</f>
        <v>0</v>
      </c>
      <c r="E10" s="154"/>
      <c r="F10" s="155"/>
      <c r="G10" s="153" t="s">
        <v>377</v>
      </c>
      <c r="H10" s="156">
        <f>รายวัน!S34</f>
        <v>0</v>
      </c>
      <c r="I10" s="152"/>
      <c r="J10" s="149"/>
      <c r="K10" s="306" t="s">
        <v>662</v>
      </c>
      <c r="L10" s="306"/>
      <c r="M10" s="154">
        <f>รายวัน!J51</f>
        <v>0</v>
      </c>
      <c r="N10" s="154"/>
      <c r="O10" s="155"/>
      <c r="P10" s="153" t="s">
        <v>137</v>
      </c>
      <c r="Q10" s="156">
        <f>ข้าราชการ!S489</f>
        <v>0</v>
      </c>
      <c r="R10" s="152"/>
    </row>
    <row r="11" spans="1:18" ht="17.100000000000001" customHeight="1" x14ac:dyDescent="0.2">
      <c r="A11" s="149"/>
      <c r="B11" s="306" t="s">
        <v>5</v>
      </c>
      <c r="C11" s="306"/>
      <c r="D11" s="154">
        <f>รายวัน!K34</f>
        <v>0</v>
      </c>
      <c r="E11" s="154"/>
      <c r="F11" s="155"/>
      <c r="G11" s="150" t="s">
        <v>56</v>
      </c>
      <c r="H11" s="156">
        <f>รายวัน!T34</f>
        <v>0</v>
      </c>
      <c r="I11" s="152"/>
      <c r="J11" s="149"/>
      <c r="K11" s="306" t="s">
        <v>5</v>
      </c>
      <c r="L11" s="306"/>
      <c r="M11" s="154">
        <f>รายวัน!K51</f>
        <v>0</v>
      </c>
      <c r="N11" s="154"/>
      <c r="O11" s="155"/>
      <c r="P11" s="150" t="s">
        <v>56</v>
      </c>
      <c r="Q11" s="156">
        <f>รายวัน!T51</f>
        <v>0</v>
      </c>
      <c r="R11" s="152"/>
    </row>
    <row r="12" spans="1:18" ht="17.100000000000001" customHeight="1" x14ac:dyDescent="0.2">
      <c r="A12" s="149"/>
      <c r="B12" s="150" t="s">
        <v>6</v>
      </c>
      <c r="C12" s="150"/>
      <c r="D12" s="154">
        <f>ข้าราชการ!C423</f>
        <v>0</v>
      </c>
      <c r="E12" s="154"/>
      <c r="F12" s="155"/>
      <c r="G12" s="150" t="s">
        <v>57</v>
      </c>
      <c r="H12" s="156">
        <f>รายวัน!U34</f>
        <v>0</v>
      </c>
      <c r="I12" s="152"/>
      <c r="J12" s="149"/>
      <c r="K12" s="150" t="s">
        <v>6</v>
      </c>
      <c r="L12" s="150"/>
      <c r="M12" s="154">
        <f>ข้าราชการ!L489</f>
        <v>0</v>
      </c>
      <c r="N12" s="154"/>
      <c r="O12" s="155"/>
      <c r="P12" s="150" t="s">
        <v>57</v>
      </c>
      <c r="Q12" s="156">
        <f>รายวัน!U51</f>
        <v>0</v>
      </c>
      <c r="R12" s="152"/>
    </row>
    <row r="13" spans="1:18" ht="17.100000000000001" customHeight="1" x14ac:dyDescent="0.2">
      <c r="A13" s="149"/>
      <c r="B13" s="150" t="s">
        <v>7</v>
      </c>
      <c r="C13" s="150"/>
      <c r="D13" s="154">
        <v>0</v>
      </c>
      <c r="E13" s="154"/>
      <c r="F13" s="155"/>
      <c r="G13" s="150"/>
      <c r="H13" s="154"/>
      <c r="I13" s="152"/>
      <c r="J13" s="149"/>
      <c r="K13" s="150" t="s">
        <v>7</v>
      </c>
      <c r="L13" s="150"/>
      <c r="M13" s="154">
        <v>0</v>
      </c>
      <c r="N13" s="154"/>
      <c r="O13" s="155"/>
      <c r="P13" s="150"/>
      <c r="Q13" s="154"/>
      <c r="R13" s="152"/>
    </row>
    <row r="14" spans="1:18" ht="17.100000000000001" customHeight="1" x14ac:dyDescent="0.2">
      <c r="A14" s="149"/>
      <c r="B14" s="307" t="s">
        <v>101</v>
      </c>
      <c r="C14" s="307"/>
      <c r="D14" s="154">
        <f>SUM(D5:D13)</f>
        <v>0</v>
      </c>
      <c r="E14" s="154"/>
      <c r="F14" s="157"/>
      <c r="G14" s="147" t="s">
        <v>102</v>
      </c>
      <c r="H14" s="157">
        <f>SUM(H5:H13)</f>
        <v>0</v>
      </c>
      <c r="I14" s="152"/>
      <c r="J14" s="149"/>
      <c r="K14" s="307" t="s">
        <v>101</v>
      </c>
      <c r="L14" s="307"/>
      <c r="M14" s="154">
        <f>SUM(M5:M13)</f>
        <v>0</v>
      </c>
      <c r="N14" s="154"/>
      <c r="O14" s="157"/>
      <c r="P14" s="147" t="s">
        <v>102</v>
      </c>
      <c r="Q14" s="157">
        <f>SUM(Q5:Q13)</f>
        <v>0</v>
      </c>
      <c r="R14" s="152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  <c r="J15" s="149"/>
      <c r="K15" s="150"/>
      <c r="L15" s="147" t="s">
        <v>103</v>
      </c>
      <c r="M15" s="157">
        <f>M14-Q14</f>
        <v>0</v>
      </c>
      <c r="N15" s="157"/>
      <c r="O15" s="158" t="s">
        <v>104</v>
      </c>
      <c r="Q15" s="150"/>
      <c r="R15" s="152"/>
    </row>
    <row r="16" spans="1:18" ht="17.100000000000001" customHeight="1" x14ac:dyDescent="0.2">
      <c r="A16" s="149"/>
      <c r="C16" s="307" t="str">
        <f>"("&amp;BAHTTEXT(D15)&amp;")"</f>
        <v>(ศูนย์บาทถ้วน)</v>
      </c>
      <c r="D16" s="307"/>
      <c r="E16" s="307"/>
      <c r="F16" s="307"/>
      <c r="G16" s="307"/>
      <c r="I16" s="152"/>
      <c r="J16" s="149"/>
      <c r="L16" s="307" t="str">
        <f>"("&amp;BAHTTEXT(M15)&amp;")"</f>
        <v>(ศูนย์บาทถ้วน)</v>
      </c>
      <c r="M16" s="307"/>
      <c r="N16" s="307"/>
      <c r="O16" s="307"/>
      <c r="P16" s="307"/>
      <c r="R16" s="152"/>
    </row>
    <row r="17" spans="1:18" ht="17.100000000000001" customHeight="1" x14ac:dyDescent="0.2">
      <c r="A17" s="149"/>
      <c r="C17" s="147"/>
      <c r="D17" s="147"/>
      <c r="E17" s="147"/>
      <c r="F17" s="147"/>
      <c r="G17" s="147"/>
      <c r="I17" s="152"/>
      <c r="J17" s="149"/>
      <c r="L17" s="147"/>
      <c r="M17" s="147"/>
      <c r="N17" s="147"/>
      <c r="O17" s="147"/>
      <c r="P17" s="147"/>
      <c r="R17" s="152"/>
    </row>
    <row r="18" spans="1:18" ht="17.100000000000001" customHeight="1" x14ac:dyDescent="0.2">
      <c r="A18" s="149"/>
      <c r="C18" s="147"/>
      <c r="D18" s="147"/>
      <c r="E18" s="147"/>
      <c r="F18" s="147"/>
      <c r="G18" s="147"/>
      <c r="I18" s="152"/>
      <c r="J18" s="149"/>
      <c r="L18" s="147"/>
      <c r="M18" s="147"/>
      <c r="N18" s="147"/>
      <c r="O18" s="147"/>
      <c r="P18" s="147"/>
      <c r="R18" s="152"/>
    </row>
    <row r="19" spans="1:18" ht="17.100000000000001" customHeight="1" x14ac:dyDescent="0.2">
      <c r="A19" s="149"/>
      <c r="I19" s="152"/>
      <c r="J19" s="149"/>
      <c r="R19" s="152"/>
    </row>
    <row r="20" spans="1:18" ht="17.100000000000001" customHeight="1" x14ac:dyDescent="0.2">
      <c r="A20" s="149"/>
      <c r="I20" s="152"/>
      <c r="J20" s="149"/>
      <c r="R20" s="152"/>
    </row>
    <row r="21" spans="1:18" ht="17.100000000000001" customHeight="1" x14ac:dyDescent="0.2">
      <c r="A21" s="308" t="s">
        <v>315</v>
      </c>
      <c r="B21" s="307"/>
      <c r="C21" s="307"/>
      <c r="D21" s="307"/>
      <c r="E21" s="307"/>
      <c r="F21" s="307"/>
      <c r="G21" s="307"/>
      <c r="H21" s="307"/>
      <c r="I21" s="309"/>
      <c r="J21" s="308" t="s">
        <v>315</v>
      </c>
      <c r="K21" s="307"/>
      <c r="L21" s="307"/>
      <c r="M21" s="307"/>
      <c r="N21" s="307"/>
      <c r="O21" s="307"/>
      <c r="P21" s="307"/>
      <c r="Q21" s="307"/>
      <c r="R21" s="309"/>
    </row>
    <row r="22" spans="1:18" ht="17.100000000000001" customHeight="1" x14ac:dyDescent="0.2">
      <c r="A22" s="310" t="s">
        <v>298</v>
      </c>
      <c r="B22" s="311"/>
      <c r="C22" s="311"/>
      <c r="D22" s="311"/>
      <c r="E22" s="311"/>
      <c r="F22" s="311"/>
      <c r="G22" s="311"/>
      <c r="H22" s="311"/>
      <c r="I22" s="312"/>
      <c r="J22" s="310" t="s">
        <v>298</v>
      </c>
      <c r="K22" s="311"/>
      <c r="L22" s="311"/>
      <c r="M22" s="311"/>
      <c r="N22" s="311"/>
      <c r="O22" s="311"/>
      <c r="P22" s="311"/>
      <c r="Q22" s="311"/>
      <c r="R22" s="312"/>
    </row>
    <row r="23" spans="1:18" ht="17.100000000000001" customHeight="1" x14ac:dyDescent="0.2">
      <c r="A23" s="313" t="str">
        <f>รว!J243</f>
        <v>โรงพยาบาลสามโคก  ประจำเดือน  พฤศจิกายน  2568</v>
      </c>
      <c r="B23" s="314"/>
      <c r="C23" s="314"/>
      <c r="D23" s="314"/>
      <c r="E23" s="314"/>
      <c r="F23" s="314"/>
      <c r="G23" s="314"/>
      <c r="H23" s="314"/>
      <c r="I23" s="315"/>
      <c r="J23" s="313" t="str">
        <f>รว!J243</f>
        <v>โรงพยาบาลสามโคก  ประจำเดือน  พฤศจิกายน  2568</v>
      </c>
      <c r="K23" s="314"/>
      <c r="L23" s="314"/>
      <c r="M23" s="314"/>
      <c r="N23" s="314"/>
      <c r="O23" s="314"/>
      <c r="P23" s="314"/>
      <c r="Q23" s="314"/>
      <c r="R23" s="315"/>
    </row>
    <row r="24" spans="1:18" ht="17.100000000000001" customHeight="1" x14ac:dyDescent="0.2">
      <c r="A24" s="308" t="s">
        <v>513</v>
      </c>
      <c r="B24" s="307"/>
      <c r="C24" s="307"/>
      <c r="D24" s="307"/>
      <c r="E24" s="307"/>
      <c r="F24" s="307"/>
      <c r="G24" s="307"/>
      <c r="H24" s="307"/>
      <c r="I24" s="309"/>
      <c r="J24" s="308" t="s">
        <v>627</v>
      </c>
      <c r="K24" s="307"/>
      <c r="L24" s="307"/>
      <c r="M24" s="307"/>
      <c r="N24" s="307"/>
      <c r="O24" s="307"/>
      <c r="P24" s="307"/>
      <c r="Q24" s="307"/>
      <c r="R24" s="309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307" t="s">
        <v>9</v>
      </c>
      <c r="C26" s="307"/>
      <c r="D26" s="307"/>
      <c r="E26" s="147"/>
      <c r="F26" s="147"/>
      <c r="G26" s="147" t="s">
        <v>10</v>
      </c>
      <c r="H26" s="147"/>
      <c r="I26" s="152"/>
      <c r="J26" s="149"/>
      <c r="K26" s="307" t="s">
        <v>9</v>
      </c>
      <c r="L26" s="307"/>
      <c r="M26" s="307"/>
      <c r="N26" s="147"/>
      <c r="O26" s="147"/>
      <c r="P26" s="147" t="s">
        <v>10</v>
      </c>
      <c r="Q26" s="147"/>
      <c r="R26" s="152"/>
    </row>
    <row r="27" spans="1:18" ht="17.100000000000001" customHeight="1" x14ac:dyDescent="0.2">
      <c r="A27" s="149"/>
      <c r="B27" s="150" t="s">
        <v>3</v>
      </c>
      <c r="C27" s="150"/>
      <c r="D27" s="154">
        <f>รายวัน!E35</f>
        <v>0</v>
      </c>
      <c r="E27" s="154"/>
      <c r="F27" s="155"/>
      <c r="G27" s="150" t="s">
        <v>99</v>
      </c>
      <c r="H27" s="154">
        <v>0</v>
      </c>
      <c r="I27" s="152"/>
      <c r="J27" s="149"/>
      <c r="K27" s="150" t="s">
        <v>3</v>
      </c>
      <c r="L27" s="150"/>
      <c r="M27" s="154">
        <f>รายวัน!E52</f>
        <v>0</v>
      </c>
      <c r="N27" s="154"/>
      <c r="O27" s="155"/>
      <c r="P27" s="150" t="s">
        <v>99</v>
      </c>
      <c r="Q27" s="154">
        <v>0</v>
      </c>
      <c r="R27" s="152"/>
    </row>
    <row r="28" spans="1:18" ht="17.100000000000001" customHeight="1" x14ac:dyDescent="0.2">
      <c r="A28" s="149"/>
      <c r="B28" s="150" t="s">
        <v>106</v>
      </c>
      <c r="C28" s="150"/>
      <c r="D28" s="154">
        <v>0</v>
      </c>
      <c r="E28" s="154"/>
      <c r="F28" s="155"/>
      <c r="G28" s="150" t="s">
        <v>116</v>
      </c>
      <c r="H28" s="154">
        <f>รายวัน!O35</f>
        <v>0</v>
      </c>
      <c r="I28" s="152"/>
      <c r="J28" s="149"/>
      <c r="K28" s="150" t="s">
        <v>106</v>
      </c>
      <c r="L28" s="150"/>
      <c r="M28" s="154">
        <v>0</v>
      </c>
      <c r="N28" s="154"/>
      <c r="O28" s="155"/>
      <c r="P28" s="150" t="s">
        <v>116</v>
      </c>
      <c r="Q28" s="154">
        <f>รายวัน!O52</f>
        <v>0</v>
      </c>
      <c r="R28" s="152"/>
    </row>
    <row r="29" spans="1:18" ht="17.100000000000001" customHeight="1" x14ac:dyDescent="0.2">
      <c r="A29" s="149"/>
      <c r="B29" s="306" t="s">
        <v>140</v>
      </c>
      <c r="C29" s="306"/>
      <c r="D29" s="154">
        <v>0</v>
      </c>
      <c r="E29" s="154"/>
      <c r="F29" s="155"/>
      <c r="G29" s="150" t="s">
        <v>54</v>
      </c>
      <c r="H29" s="154">
        <v>0</v>
      </c>
      <c r="I29" s="152"/>
      <c r="J29" s="149"/>
      <c r="K29" s="306" t="s">
        <v>140</v>
      </c>
      <c r="L29" s="306"/>
      <c r="M29" s="154">
        <v>0</v>
      </c>
      <c r="N29" s="154"/>
      <c r="O29" s="155"/>
      <c r="P29" s="150" t="s">
        <v>54</v>
      </c>
      <c r="Q29" s="154">
        <v>0</v>
      </c>
      <c r="R29" s="152"/>
    </row>
    <row r="30" spans="1:18" ht="17.100000000000001" customHeight="1" x14ac:dyDescent="0.2">
      <c r="A30" s="149"/>
      <c r="B30" s="306" t="s">
        <v>130</v>
      </c>
      <c r="C30" s="306"/>
      <c r="D30" s="154">
        <f>รายวัน!H35</f>
        <v>0</v>
      </c>
      <c r="E30" s="154"/>
      <c r="F30" s="155"/>
      <c r="G30" s="150" t="s">
        <v>100</v>
      </c>
      <c r="H30" s="154">
        <v>0</v>
      </c>
      <c r="I30" s="152"/>
      <c r="J30" s="149"/>
      <c r="K30" s="306" t="s">
        <v>130</v>
      </c>
      <c r="L30" s="306"/>
      <c r="M30" s="154">
        <f>รายวัน!H52</f>
        <v>0</v>
      </c>
      <c r="N30" s="154"/>
      <c r="O30" s="155"/>
      <c r="P30" s="150" t="s">
        <v>100</v>
      </c>
      <c r="Q30" s="154">
        <v>0</v>
      </c>
      <c r="R30" s="152"/>
    </row>
    <row r="31" spans="1:18" ht="17.100000000000001" customHeight="1" x14ac:dyDescent="0.2">
      <c r="A31" s="149"/>
      <c r="B31" s="306" t="s">
        <v>661</v>
      </c>
      <c r="C31" s="306"/>
      <c r="D31" s="154">
        <f>รายวัน!I35</f>
        <v>0</v>
      </c>
      <c r="E31" s="154"/>
      <c r="F31" s="155"/>
      <c r="G31" s="150" t="s">
        <v>55</v>
      </c>
      <c r="H31" s="156">
        <v>0</v>
      </c>
      <c r="I31" s="152"/>
      <c r="J31" s="149"/>
      <c r="K31" s="306" t="s">
        <v>291</v>
      </c>
      <c r="L31" s="306"/>
      <c r="M31" s="154">
        <f>รายวัน!I52</f>
        <v>0</v>
      </c>
      <c r="N31" s="154"/>
      <c r="O31" s="155"/>
      <c r="P31" s="150" t="s">
        <v>55</v>
      </c>
      <c r="Q31" s="156">
        <v>0</v>
      </c>
      <c r="R31" s="152"/>
    </row>
    <row r="32" spans="1:18" ht="17.100000000000001" customHeight="1" x14ac:dyDescent="0.2">
      <c r="A32" s="149"/>
      <c r="B32" s="306" t="s">
        <v>662</v>
      </c>
      <c r="C32" s="306"/>
      <c r="D32" s="154">
        <f>รายวัน!J35</f>
        <v>0</v>
      </c>
      <c r="E32" s="154"/>
      <c r="F32" s="155"/>
      <c r="G32" s="153" t="s">
        <v>137</v>
      </c>
      <c r="H32" s="156">
        <f>ข้าราชการ!J489</f>
        <v>0</v>
      </c>
      <c r="I32" s="152"/>
      <c r="J32" s="149"/>
      <c r="K32" s="306" t="s">
        <v>119</v>
      </c>
      <c r="L32" s="306"/>
      <c r="M32" s="154">
        <f>รายวัน!J52</f>
        <v>0</v>
      </c>
      <c r="N32" s="154"/>
      <c r="O32" s="155"/>
      <c r="P32" s="153" t="s">
        <v>137</v>
      </c>
      <c r="Q32" s="156">
        <f>ข้าราชการ!S511</f>
        <v>0</v>
      </c>
      <c r="R32" s="152"/>
    </row>
    <row r="33" spans="1:18" ht="17.100000000000001" customHeight="1" x14ac:dyDescent="0.2">
      <c r="A33" s="149"/>
      <c r="B33" s="306" t="s">
        <v>5</v>
      </c>
      <c r="C33" s="306"/>
      <c r="D33" s="154">
        <f>รายวัน!K35</f>
        <v>0</v>
      </c>
      <c r="E33" s="154"/>
      <c r="F33" s="155"/>
      <c r="G33" s="150" t="s">
        <v>56</v>
      </c>
      <c r="H33" s="156">
        <f>รายวัน!T35</f>
        <v>0</v>
      </c>
      <c r="I33" s="152"/>
      <c r="J33" s="149"/>
      <c r="K33" s="306" t="s">
        <v>5</v>
      </c>
      <c r="L33" s="306"/>
      <c r="M33" s="154">
        <f>รายวัน!K55</f>
        <v>0</v>
      </c>
      <c r="N33" s="154"/>
      <c r="O33" s="155"/>
      <c r="P33" s="150" t="s">
        <v>56</v>
      </c>
      <c r="Q33" s="156">
        <f>รายวัน!T52</f>
        <v>0</v>
      </c>
      <c r="R33" s="152"/>
    </row>
    <row r="34" spans="1:18" ht="17.100000000000001" customHeight="1" x14ac:dyDescent="0.2">
      <c r="A34" s="149"/>
      <c r="B34" s="150" t="s">
        <v>6</v>
      </c>
      <c r="C34" s="150"/>
      <c r="D34" s="154">
        <f>ข้าราชการ!C489</f>
        <v>0</v>
      </c>
      <c r="E34" s="154"/>
      <c r="F34" s="155"/>
      <c r="G34" s="150" t="s">
        <v>57</v>
      </c>
      <c r="H34" s="156">
        <f>รายวัน!U35</f>
        <v>0</v>
      </c>
      <c r="I34" s="152"/>
      <c r="J34" s="149"/>
      <c r="K34" s="150" t="s">
        <v>6</v>
      </c>
      <c r="L34" s="150"/>
      <c r="M34" s="154">
        <f>ข้าราชการ!L511</f>
        <v>0</v>
      </c>
      <c r="N34" s="154"/>
      <c r="O34" s="155"/>
      <c r="P34" s="150" t="s">
        <v>57</v>
      </c>
      <c r="Q34" s="156">
        <f>รายวัน!U52</f>
        <v>0</v>
      </c>
      <c r="R34" s="152"/>
    </row>
    <row r="35" spans="1:18" ht="17.100000000000001" customHeight="1" x14ac:dyDescent="0.2">
      <c r="A35" s="149"/>
      <c r="B35" s="150" t="s">
        <v>7</v>
      </c>
      <c r="C35" s="150"/>
      <c r="D35" s="154">
        <v>0</v>
      </c>
      <c r="E35" s="154"/>
      <c r="F35" s="155"/>
      <c r="G35" s="150"/>
      <c r="H35" s="154"/>
      <c r="I35" s="152"/>
      <c r="J35" s="149"/>
      <c r="K35" s="150" t="s">
        <v>7</v>
      </c>
      <c r="L35" s="150"/>
      <c r="M35" s="154">
        <v>0</v>
      </c>
      <c r="N35" s="154"/>
      <c r="O35" s="155"/>
      <c r="P35" s="150"/>
      <c r="Q35" s="154"/>
      <c r="R35" s="152"/>
    </row>
    <row r="36" spans="1:18" ht="17.100000000000001" customHeight="1" x14ac:dyDescent="0.2">
      <c r="A36" s="149"/>
      <c r="B36" s="307" t="s">
        <v>101</v>
      </c>
      <c r="C36" s="307"/>
      <c r="D36" s="154">
        <f>SUM(D27:D35)</f>
        <v>0</v>
      </c>
      <c r="E36" s="154"/>
      <c r="F36" s="157"/>
      <c r="G36" s="147" t="s">
        <v>102</v>
      </c>
      <c r="H36" s="157">
        <f>SUM(H27:H35)</f>
        <v>0</v>
      </c>
      <c r="I36" s="152"/>
      <c r="J36" s="149"/>
      <c r="K36" s="307" t="s">
        <v>101</v>
      </c>
      <c r="L36" s="307"/>
      <c r="M36" s="154">
        <f>SUM(M27:M35)</f>
        <v>0</v>
      </c>
      <c r="N36" s="154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C38" s="307" t="str">
        <f>"("&amp;BAHTTEXT(D37)&amp;")"</f>
        <v>(ศูนย์บาทถ้วน)</v>
      </c>
      <c r="D38" s="307"/>
      <c r="E38" s="307"/>
      <c r="F38" s="307"/>
      <c r="G38" s="307"/>
      <c r="I38" s="152"/>
      <c r="J38" s="149"/>
      <c r="L38" s="307" t="str">
        <f>"("&amp;BAHTTEXT(M37)&amp;")"</f>
        <v>(ศูนย์บาทถ้วน)</v>
      </c>
      <c r="M38" s="307"/>
      <c r="N38" s="307"/>
      <c r="O38" s="307"/>
      <c r="P38" s="307"/>
      <c r="R38" s="152"/>
    </row>
    <row r="39" spans="1:18" ht="17.100000000000001" customHeight="1" x14ac:dyDescent="0.2">
      <c r="A39" s="149"/>
      <c r="C39" s="147"/>
      <c r="D39" s="147"/>
      <c r="E39" s="147"/>
      <c r="F39" s="147"/>
      <c r="G39" s="147"/>
      <c r="I39" s="152"/>
      <c r="J39" s="149"/>
      <c r="L39" s="147"/>
      <c r="M39" s="147"/>
      <c r="N39" s="147"/>
      <c r="O39" s="147"/>
      <c r="P39" s="147"/>
      <c r="R39" s="152"/>
    </row>
    <row r="40" spans="1:18" ht="17.100000000000001" customHeight="1" x14ac:dyDescent="0.2">
      <c r="A40" s="149"/>
      <c r="C40" s="147"/>
      <c r="D40" s="147"/>
      <c r="E40" s="147"/>
      <c r="F40" s="147"/>
      <c r="G40" s="147"/>
      <c r="I40" s="152"/>
      <c r="J40" s="149"/>
      <c r="L40" s="147"/>
      <c r="M40" s="147"/>
      <c r="N40" s="147"/>
      <c r="O40" s="147"/>
      <c r="P40" s="147"/>
      <c r="R40" s="152"/>
    </row>
    <row r="41" spans="1:18" ht="17.100000000000001" customHeight="1" x14ac:dyDescent="0.2">
      <c r="A41" s="149"/>
      <c r="I41" s="152"/>
      <c r="J41" s="149"/>
      <c r="R41" s="152"/>
    </row>
    <row r="42" spans="1:18" ht="17.100000000000001" customHeight="1" x14ac:dyDescent="0.2">
      <c r="A42" s="149"/>
      <c r="I42" s="152"/>
      <c r="J42" s="149"/>
      <c r="R42" s="152"/>
    </row>
    <row r="43" spans="1:18" ht="17.100000000000001" customHeight="1" x14ac:dyDescent="0.2">
      <c r="A43" s="308" t="s">
        <v>315</v>
      </c>
      <c r="B43" s="307"/>
      <c r="C43" s="307"/>
      <c r="D43" s="307"/>
      <c r="E43" s="307"/>
      <c r="F43" s="307"/>
      <c r="G43" s="307"/>
      <c r="H43" s="307"/>
      <c r="I43" s="309"/>
      <c r="J43" s="308" t="s">
        <v>315</v>
      </c>
      <c r="K43" s="307"/>
      <c r="L43" s="307"/>
      <c r="M43" s="307"/>
      <c r="N43" s="307"/>
      <c r="O43" s="307"/>
      <c r="P43" s="307"/>
      <c r="Q43" s="307"/>
      <c r="R43" s="309"/>
    </row>
    <row r="44" spans="1:18" ht="17.100000000000001" customHeight="1" x14ac:dyDescent="0.2">
      <c r="A44" s="310" t="s">
        <v>298</v>
      </c>
      <c r="B44" s="311"/>
      <c r="C44" s="311"/>
      <c r="D44" s="311"/>
      <c r="E44" s="311"/>
      <c r="F44" s="311"/>
      <c r="G44" s="311"/>
      <c r="H44" s="311"/>
      <c r="I44" s="312"/>
      <c r="J44" s="310" t="s">
        <v>298</v>
      </c>
      <c r="K44" s="311"/>
      <c r="L44" s="311"/>
      <c r="M44" s="311"/>
      <c r="N44" s="311"/>
      <c r="O44" s="311"/>
      <c r="P44" s="311"/>
      <c r="Q44" s="311"/>
      <c r="R44" s="312"/>
    </row>
    <row r="45" spans="1:18" ht="17.100000000000001" customHeight="1" x14ac:dyDescent="0.2">
      <c r="A45" s="313" t="str">
        <f>A23</f>
        <v>โรงพยาบาลสามโคก  ประจำเดือน  พฤศจิกายน  2568</v>
      </c>
      <c r="B45" s="314"/>
      <c r="C45" s="314"/>
      <c r="D45" s="314"/>
      <c r="E45" s="314"/>
      <c r="F45" s="314"/>
      <c r="G45" s="314"/>
      <c r="H45" s="314"/>
      <c r="I45" s="315"/>
      <c r="J45" s="313" t="str">
        <f>A1</f>
        <v>โรงพยาบาลสามโคก  ประจำเดือน  พฤศจิกายน  2568</v>
      </c>
      <c r="K45" s="314"/>
      <c r="L45" s="314"/>
      <c r="M45" s="314"/>
      <c r="N45" s="314"/>
      <c r="O45" s="314"/>
      <c r="P45" s="314"/>
      <c r="Q45" s="314"/>
      <c r="R45" s="315"/>
    </row>
    <row r="46" spans="1:18" ht="17.100000000000001" customHeight="1" x14ac:dyDescent="0.2">
      <c r="A46" s="308" t="s">
        <v>525</v>
      </c>
      <c r="B46" s="307"/>
      <c r="C46" s="307"/>
      <c r="D46" s="307"/>
      <c r="E46" s="307"/>
      <c r="F46" s="307"/>
      <c r="G46" s="307"/>
      <c r="H46" s="307"/>
      <c r="I46" s="309"/>
      <c r="J46" s="308" t="s">
        <v>628</v>
      </c>
      <c r="K46" s="307"/>
      <c r="L46" s="307"/>
      <c r="M46" s="307"/>
      <c r="N46" s="307"/>
      <c r="O46" s="307"/>
      <c r="P46" s="307"/>
      <c r="Q46" s="307"/>
      <c r="R46" s="309"/>
    </row>
    <row r="47" spans="1:18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  <c r="J47" s="149"/>
      <c r="K47" s="153"/>
      <c r="L47" s="150"/>
      <c r="M47" s="147"/>
      <c r="N47" s="147"/>
      <c r="O47" s="147"/>
      <c r="P47" s="150"/>
      <c r="Q47" s="150"/>
      <c r="R47" s="152"/>
    </row>
    <row r="48" spans="1:18" ht="16.5" customHeight="1" x14ac:dyDescent="0.2">
      <c r="A48" s="149"/>
      <c r="B48" s="307" t="s">
        <v>9</v>
      </c>
      <c r="C48" s="307"/>
      <c r="D48" s="307"/>
      <c r="E48" s="147"/>
      <c r="F48" s="147"/>
      <c r="G48" s="147" t="s">
        <v>10</v>
      </c>
      <c r="H48" s="147"/>
      <c r="I48" s="152"/>
      <c r="J48" s="149"/>
      <c r="K48" s="307" t="s">
        <v>9</v>
      </c>
      <c r="L48" s="307"/>
      <c r="M48" s="307"/>
      <c r="N48" s="147"/>
      <c r="O48" s="147"/>
      <c r="P48" s="147" t="s">
        <v>10</v>
      </c>
      <c r="Q48" s="147"/>
      <c r="R48" s="152"/>
    </row>
    <row r="49" spans="1:18" ht="17.100000000000001" customHeight="1" x14ac:dyDescent="0.2">
      <c r="A49" s="149"/>
      <c r="B49" s="150" t="s">
        <v>3</v>
      </c>
      <c r="C49" s="150"/>
      <c r="D49" s="154">
        <f>รายวัน!E36</f>
        <v>0</v>
      </c>
      <c r="E49" s="154"/>
      <c r="F49" s="155"/>
      <c r="G49" s="150" t="s">
        <v>99</v>
      </c>
      <c r="H49" s="154">
        <v>0</v>
      </c>
      <c r="I49" s="152"/>
      <c r="J49" s="149"/>
      <c r="K49" s="150" t="s">
        <v>3</v>
      </c>
      <c r="L49" s="150"/>
      <c r="M49" s="154">
        <f>รายวัน!E53</f>
        <v>0</v>
      </c>
      <c r="N49" s="154"/>
      <c r="O49" s="155"/>
      <c r="P49" s="150" t="s">
        <v>99</v>
      </c>
      <c r="Q49" s="154">
        <v>0</v>
      </c>
      <c r="R49" s="152"/>
    </row>
    <row r="50" spans="1:18" ht="17.100000000000001" customHeight="1" x14ac:dyDescent="0.2">
      <c r="A50" s="149"/>
      <c r="B50" s="150" t="s">
        <v>106</v>
      </c>
      <c r="C50" s="150"/>
      <c r="D50" s="154">
        <v>0</v>
      </c>
      <c r="E50" s="154"/>
      <c r="F50" s="155"/>
      <c r="G50" s="150" t="s">
        <v>116</v>
      </c>
      <c r="H50" s="154">
        <f>รายวัน!O36</f>
        <v>0</v>
      </c>
      <c r="I50" s="152"/>
      <c r="J50" s="149"/>
      <c r="K50" s="150" t="s">
        <v>106</v>
      </c>
      <c r="L50" s="150"/>
      <c r="M50" s="154">
        <v>0</v>
      </c>
      <c r="N50" s="154"/>
      <c r="O50" s="155"/>
      <c r="P50" s="150" t="s">
        <v>116</v>
      </c>
      <c r="Q50" s="154">
        <f>รายวัน!O53</f>
        <v>0</v>
      </c>
      <c r="R50" s="152"/>
    </row>
    <row r="51" spans="1:18" ht="17.100000000000001" customHeight="1" x14ac:dyDescent="0.2">
      <c r="A51" s="149"/>
      <c r="B51" s="306" t="s">
        <v>140</v>
      </c>
      <c r="C51" s="306"/>
      <c r="D51" s="154">
        <v>0</v>
      </c>
      <c r="E51" s="154"/>
      <c r="F51" s="155"/>
      <c r="G51" s="150" t="s">
        <v>54</v>
      </c>
      <c r="H51" s="154">
        <v>0</v>
      </c>
      <c r="I51" s="152"/>
      <c r="J51" s="149"/>
      <c r="K51" s="306" t="s">
        <v>140</v>
      </c>
      <c r="L51" s="306"/>
      <c r="M51" s="154">
        <v>0</v>
      </c>
      <c r="N51" s="154"/>
      <c r="O51" s="155"/>
      <c r="P51" s="150" t="s">
        <v>54</v>
      </c>
      <c r="Q51" s="154">
        <v>0</v>
      </c>
      <c r="R51" s="152"/>
    </row>
    <row r="52" spans="1:18" ht="17.100000000000001" customHeight="1" x14ac:dyDescent="0.2">
      <c r="A52" s="149"/>
      <c r="B52" s="306" t="s">
        <v>105</v>
      </c>
      <c r="C52" s="306"/>
      <c r="D52" s="154">
        <f>รายวัน!H36</f>
        <v>0</v>
      </c>
      <c r="E52" s="154"/>
      <c r="F52" s="155"/>
      <c r="G52" s="150" t="s">
        <v>100</v>
      </c>
      <c r="H52" s="154">
        <v>0</v>
      </c>
      <c r="I52" s="152"/>
      <c r="J52" s="149"/>
      <c r="K52" s="306" t="s">
        <v>105</v>
      </c>
      <c r="L52" s="306"/>
      <c r="M52" s="154">
        <f>รายวัน!H53</f>
        <v>0</v>
      </c>
      <c r="N52" s="154"/>
      <c r="O52" s="155"/>
      <c r="P52" s="150" t="s">
        <v>100</v>
      </c>
      <c r="Q52" s="154">
        <v>0</v>
      </c>
      <c r="R52" s="152"/>
    </row>
    <row r="53" spans="1:18" ht="17.100000000000001" customHeight="1" x14ac:dyDescent="0.2">
      <c r="A53" s="149"/>
      <c r="B53" s="306" t="s">
        <v>661</v>
      </c>
      <c r="C53" s="306"/>
      <c r="D53" s="154">
        <f>รายวัน!I36</f>
        <v>0</v>
      </c>
      <c r="E53" s="154"/>
      <c r="F53" s="155"/>
      <c r="G53" s="150" t="s">
        <v>55</v>
      </c>
      <c r="H53" s="156">
        <v>0</v>
      </c>
      <c r="I53" s="152"/>
      <c r="J53" s="149"/>
      <c r="K53" s="306" t="s">
        <v>291</v>
      </c>
      <c r="L53" s="306"/>
      <c r="M53" s="154">
        <f>รายวัน!I53</f>
        <v>0</v>
      </c>
      <c r="N53" s="154"/>
      <c r="O53" s="155"/>
      <c r="P53" s="150" t="s">
        <v>55</v>
      </c>
      <c r="Q53" s="156">
        <v>0</v>
      </c>
      <c r="R53" s="152"/>
    </row>
    <row r="54" spans="1:18" ht="17.100000000000001" customHeight="1" x14ac:dyDescent="0.2">
      <c r="A54" s="149"/>
      <c r="B54" s="306" t="s">
        <v>662</v>
      </c>
      <c r="C54" s="306"/>
      <c r="D54" s="154">
        <f>รายวัน!J36</f>
        <v>0</v>
      </c>
      <c r="E54" s="154"/>
      <c r="F54" s="155"/>
      <c r="G54" s="153" t="s">
        <v>377</v>
      </c>
      <c r="H54" s="156">
        <f>รายวัน!S36</f>
        <v>0</v>
      </c>
      <c r="I54" s="152"/>
      <c r="J54" s="149"/>
      <c r="K54" s="306" t="s">
        <v>119</v>
      </c>
      <c r="L54" s="306"/>
      <c r="M54" s="154">
        <f>รายวัน!J53</f>
        <v>0</v>
      </c>
      <c r="N54" s="154"/>
      <c r="O54" s="155"/>
      <c r="P54" s="153" t="s">
        <v>137</v>
      </c>
      <c r="Q54" s="156">
        <f>ข้าราชการ!S533</f>
        <v>0</v>
      </c>
      <c r="R54" s="152"/>
    </row>
    <row r="55" spans="1:18" ht="17.100000000000001" customHeight="1" x14ac:dyDescent="0.2">
      <c r="A55" s="149"/>
      <c r="B55" s="306" t="s">
        <v>5</v>
      </c>
      <c r="C55" s="306"/>
      <c r="D55" s="154">
        <v>0</v>
      </c>
      <c r="E55" s="154"/>
      <c r="F55" s="155"/>
      <c r="G55" s="150" t="s">
        <v>56</v>
      </c>
      <c r="H55" s="156">
        <f>รายวัน!T36</f>
        <v>0</v>
      </c>
      <c r="I55" s="152"/>
      <c r="J55" s="149"/>
      <c r="K55" s="306" t="s">
        <v>5</v>
      </c>
      <c r="L55" s="306"/>
      <c r="M55" s="154">
        <v>0</v>
      </c>
      <c r="N55" s="154"/>
      <c r="O55" s="155"/>
      <c r="P55" s="150" t="s">
        <v>56</v>
      </c>
      <c r="Q55" s="156">
        <f>รายวัน!T53</f>
        <v>0</v>
      </c>
      <c r="R55" s="152"/>
    </row>
    <row r="56" spans="1:18" ht="17.100000000000001" customHeight="1" x14ac:dyDescent="0.2">
      <c r="A56" s="149"/>
      <c r="B56" s="150" t="s">
        <v>6</v>
      </c>
      <c r="C56" s="150"/>
      <c r="D56" s="154">
        <f>ข้าราชการ!C533</f>
        <v>0</v>
      </c>
      <c r="E56" s="154"/>
      <c r="F56" s="155"/>
      <c r="G56" s="150" t="s">
        <v>57</v>
      </c>
      <c r="H56" s="156">
        <f>รายวัน!U36</f>
        <v>0</v>
      </c>
      <c r="I56" s="152"/>
      <c r="J56" s="149"/>
      <c r="K56" s="150" t="s">
        <v>6</v>
      </c>
      <c r="L56" s="150"/>
      <c r="M56" s="154">
        <f>ข้าราชการ!L533</f>
        <v>0</v>
      </c>
      <c r="N56" s="154"/>
      <c r="O56" s="155"/>
      <c r="P56" s="150" t="s">
        <v>57</v>
      </c>
      <c r="Q56" s="156">
        <f>รายวัน!U53</f>
        <v>0</v>
      </c>
      <c r="R56" s="152"/>
    </row>
    <row r="57" spans="1:18" ht="17.100000000000001" customHeight="1" x14ac:dyDescent="0.2">
      <c r="A57" s="149"/>
      <c r="B57" s="150" t="s">
        <v>7</v>
      </c>
      <c r="C57" s="150"/>
      <c r="D57" s="154">
        <v>0</v>
      </c>
      <c r="E57" s="154"/>
      <c r="F57" s="155"/>
      <c r="G57" s="150"/>
      <c r="H57" s="154"/>
      <c r="I57" s="152"/>
      <c r="J57" s="149"/>
      <c r="K57" s="150" t="s">
        <v>7</v>
      </c>
      <c r="L57" s="150"/>
      <c r="M57" s="154">
        <v>0</v>
      </c>
      <c r="N57" s="154"/>
      <c r="O57" s="155"/>
      <c r="P57" s="150"/>
      <c r="Q57" s="154"/>
      <c r="R57" s="152"/>
    </row>
    <row r="58" spans="1:18" ht="17.100000000000001" customHeight="1" x14ac:dyDescent="0.2">
      <c r="A58" s="149"/>
      <c r="B58" s="307" t="s">
        <v>101</v>
      </c>
      <c r="C58" s="307"/>
      <c r="D58" s="154">
        <f>SUM(D49:D57)</f>
        <v>0</v>
      </c>
      <c r="E58" s="154"/>
      <c r="F58" s="157"/>
      <c r="G58" s="147" t="s">
        <v>102</v>
      </c>
      <c r="H58" s="157">
        <f>SUM(H49:H57)</f>
        <v>0</v>
      </c>
      <c r="I58" s="152"/>
      <c r="J58" s="149"/>
      <c r="K58" s="307" t="s">
        <v>101</v>
      </c>
      <c r="L58" s="307"/>
      <c r="M58" s="154">
        <f>SUM(M49:M57)</f>
        <v>0</v>
      </c>
      <c r="N58" s="154"/>
      <c r="O58" s="157"/>
      <c r="P58" s="147" t="s">
        <v>102</v>
      </c>
      <c r="Q58" s="157">
        <f>SUM(Q49:Q57)</f>
        <v>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  <c r="J59" s="149"/>
      <c r="K59" s="150"/>
      <c r="L59" s="147" t="s">
        <v>103</v>
      </c>
      <c r="M59" s="157">
        <f>M58-Q58</f>
        <v>0</v>
      </c>
      <c r="N59" s="157"/>
      <c r="O59" s="158" t="s">
        <v>104</v>
      </c>
      <c r="Q59" s="150"/>
      <c r="R59" s="152"/>
    </row>
    <row r="60" spans="1:18" ht="17.100000000000001" customHeight="1" x14ac:dyDescent="0.2">
      <c r="A60" s="149"/>
      <c r="C60" s="307" t="str">
        <f>"("&amp;BAHTTEXT(D59)&amp;")"</f>
        <v>(ศูนย์บาทถ้วน)</v>
      </c>
      <c r="D60" s="307"/>
      <c r="E60" s="307"/>
      <c r="F60" s="307"/>
      <c r="G60" s="307"/>
      <c r="I60" s="152"/>
      <c r="J60" s="149"/>
      <c r="L60" s="307" t="str">
        <f>"("&amp;BAHTTEXT(M59)&amp;")"</f>
        <v>(ศูนย์บาทถ้วน)</v>
      </c>
      <c r="M60" s="307"/>
      <c r="N60" s="307"/>
      <c r="O60" s="307"/>
      <c r="P60" s="307"/>
      <c r="R60" s="152"/>
    </row>
    <row r="61" spans="1:18" ht="17.100000000000001" customHeight="1" x14ac:dyDescent="0.2">
      <c r="A61" s="149"/>
      <c r="C61" s="147"/>
      <c r="D61" s="147"/>
      <c r="E61" s="147"/>
      <c r="F61" s="147"/>
      <c r="G61" s="147"/>
      <c r="I61" s="152"/>
      <c r="J61" s="149"/>
      <c r="L61" s="147"/>
      <c r="M61" s="147"/>
      <c r="N61" s="147"/>
      <c r="O61" s="147"/>
      <c r="P61" s="147"/>
      <c r="R61" s="152"/>
    </row>
    <row r="62" spans="1:18" ht="17.100000000000001" customHeight="1" x14ac:dyDescent="0.2">
      <c r="A62" s="149"/>
      <c r="C62" s="147"/>
      <c r="D62" s="147"/>
      <c r="E62" s="147"/>
      <c r="F62" s="147"/>
      <c r="G62" s="147"/>
      <c r="I62" s="152"/>
      <c r="J62" s="149"/>
      <c r="L62" s="147"/>
      <c r="M62" s="147"/>
      <c r="N62" s="147"/>
      <c r="O62" s="147"/>
      <c r="P62" s="147"/>
      <c r="R62" s="152"/>
    </row>
    <row r="63" spans="1:18" ht="17.100000000000001" customHeight="1" x14ac:dyDescent="0.2">
      <c r="A63" s="149"/>
      <c r="I63" s="152"/>
      <c r="J63" s="149"/>
      <c r="R63" s="152"/>
    </row>
    <row r="64" spans="1:18" ht="17.100000000000001" customHeight="1" x14ac:dyDescent="0.2">
      <c r="A64" s="149"/>
      <c r="I64" s="152"/>
      <c r="J64" s="149"/>
      <c r="R64" s="152"/>
    </row>
    <row r="65" spans="1:18" ht="17.100000000000001" customHeight="1" x14ac:dyDescent="0.2">
      <c r="A65" s="308" t="s">
        <v>315</v>
      </c>
      <c r="B65" s="307"/>
      <c r="C65" s="307"/>
      <c r="D65" s="307"/>
      <c r="E65" s="307"/>
      <c r="F65" s="307"/>
      <c r="G65" s="307"/>
      <c r="H65" s="307"/>
      <c r="I65" s="309"/>
      <c r="J65" s="308" t="s">
        <v>315</v>
      </c>
      <c r="K65" s="307"/>
      <c r="L65" s="307"/>
      <c r="M65" s="307"/>
      <c r="N65" s="307"/>
      <c r="O65" s="307"/>
      <c r="P65" s="307"/>
      <c r="Q65" s="307"/>
      <c r="R65" s="309"/>
    </row>
    <row r="66" spans="1:18" ht="17.100000000000001" customHeight="1" x14ac:dyDescent="0.2">
      <c r="A66" s="310" t="s">
        <v>298</v>
      </c>
      <c r="B66" s="311"/>
      <c r="C66" s="311"/>
      <c r="D66" s="311"/>
      <c r="E66" s="311"/>
      <c r="F66" s="311"/>
      <c r="G66" s="311"/>
      <c r="H66" s="311"/>
      <c r="I66" s="312"/>
      <c r="J66" s="310" t="s">
        <v>298</v>
      </c>
      <c r="K66" s="311"/>
      <c r="L66" s="311"/>
      <c r="M66" s="311"/>
      <c r="N66" s="311"/>
      <c r="O66" s="311"/>
      <c r="P66" s="311"/>
      <c r="Q66" s="311"/>
      <c r="R66" s="312"/>
    </row>
    <row r="67" spans="1:18" ht="17.100000000000001" customHeight="1" x14ac:dyDescent="0.2">
      <c r="A67" s="313" t="str">
        <f>รว!J221</f>
        <v>โรงพยาบาลสามโคก  ประจำเดือน  พฤศจิกายน  2568</v>
      </c>
      <c r="B67" s="314"/>
      <c r="C67" s="314"/>
      <c r="D67" s="314"/>
      <c r="E67" s="314"/>
      <c r="F67" s="314"/>
      <c r="G67" s="314"/>
      <c r="H67" s="314"/>
      <c r="I67" s="315"/>
    </row>
    <row r="68" spans="1:18" ht="17.100000000000001" customHeight="1" x14ac:dyDescent="0.2">
      <c r="A68" s="308" t="s">
        <v>526</v>
      </c>
      <c r="B68" s="307"/>
      <c r="C68" s="307"/>
      <c r="D68" s="307"/>
      <c r="E68" s="307"/>
      <c r="F68" s="307"/>
      <c r="G68" s="307"/>
      <c r="H68" s="307"/>
      <c r="I68" s="309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</row>
    <row r="70" spans="1:18" ht="17.100000000000001" customHeight="1" x14ac:dyDescent="0.2">
      <c r="A70" s="149"/>
      <c r="B70" s="307" t="s">
        <v>9</v>
      </c>
      <c r="C70" s="307"/>
      <c r="D70" s="307"/>
      <c r="E70" s="147"/>
      <c r="F70" s="147"/>
      <c r="G70" s="147" t="s">
        <v>10</v>
      </c>
      <c r="H70" s="147"/>
      <c r="I70" s="152"/>
    </row>
    <row r="71" spans="1:18" ht="17.100000000000001" customHeight="1" x14ac:dyDescent="0.2">
      <c r="A71" s="149"/>
      <c r="B71" s="150" t="s">
        <v>3</v>
      </c>
      <c r="C71" s="150"/>
      <c r="D71" s="154">
        <f>รายวัน!E37</f>
        <v>0</v>
      </c>
      <c r="E71" s="154"/>
      <c r="F71" s="155"/>
      <c r="G71" s="150" t="s">
        <v>99</v>
      </c>
      <c r="H71" s="154">
        <v>0</v>
      </c>
      <c r="I71" s="152"/>
    </row>
    <row r="72" spans="1:18" ht="17.100000000000001" customHeight="1" x14ac:dyDescent="0.2">
      <c r="A72" s="149"/>
      <c r="B72" s="150" t="s">
        <v>106</v>
      </c>
      <c r="C72" s="150"/>
      <c r="D72" s="154">
        <v>0</v>
      </c>
      <c r="E72" s="154"/>
      <c r="F72" s="155"/>
      <c r="G72" s="150" t="s">
        <v>116</v>
      </c>
      <c r="H72" s="154">
        <f>รายวัน!O37</f>
        <v>0</v>
      </c>
      <c r="I72" s="152"/>
    </row>
    <row r="73" spans="1:18" ht="17.100000000000001" customHeight="1" x14ac:dyDescent="0.2">
      <c r="A73" s="149"/>
      <c r="B73" s="306" t="s">
        <v>140</v>
      </c>
      <c r="C73" s="306"/>
      <c r="D73" s="154">
        <v>0</v>
      </c>
      <c r="E73" s="154"/>
      <c r="F73" s="155"/>
      <c r="G73" s="150" t="s">
        <v>54</v>
      </c>
      <c r="H73" s="154">
        <v>0</v>
      </c>
      <c r="I73" s="152"/>
    </row>
    <row r="74" spans="1:18" ht="17.100000000000001" customHeight="1" x14ac:dyDescent="0.2">
      <c r="A74" s="149"/>
      <c r="B74" s="306" t="s">
        <v>105</v>
      </c>
      <c r="C74" s="306"/>
      <c r="D74" s="154">
        <f>รายวัน!H37</f>
        <v>0</v>
      </c>
      <c r="E74" s="154"/>
      <c r="F74" s="155"/>
      <c r="G74" s="150" t="s">
        <v>100</v>
      </c>
      <c r="H74" s="154">
        <v>0</v>
      </c>
      <c r="I74" s="152"/>
    </row>
    <row r="75" spans="1:18" ht="17.100000000000001" customHeight="1" x14ac:dyDescent="0.2">
      <c r="A75" s="149"/>
      <c r="B75" s="306" t="s">
        <v>661</v>
      </c>
      <c r="C75" s="306"/>
      <c r="D75" s="154">
        <f>รายวัน!I37</f>
        <v>0</v>
      </c>
      <c r="E75" s="154"/>
      <c r="F75" s="155"/>
      <c r="G75" s="153" t="s">
        <v>377</v>
      </c>
      <c r="H75" s="156">
        <f>รายวัน!S37</f>
        <v>0</v>
      </c>
      <c r="I75" s="152"/>
    </row>
    <row r="76" spans="1:18" ht="17.100000000000001" customHeight="1" x14ac:dyDescent="0.2">
      <c r="A76" s="149"/>
      <c r="B76" s="306" t="s">
        <v>662</v>
      </c>
      <c r="C76" s="306"/>
      <c r="D76" s="154">
        <f>รายวัน!J37</f>
        <v>0</v>
      </c>
      <c r="E76" s="154"/>
      <c r="F76" s="155"/>
      <c r="G76" s="153" t="s">
        <v>137</v>
      </c>
      <c r="H76" s="156">
        <f>ข้าราชการ!J555</f>
        <v>0</v>
      </c>
      <c r="I76" s="152"/>
    </row>
    <row r="77" spans="1:18" ht="17.100000000000001" customHeight="1" x14ac:dyDescent="0.2">
      <c r="A77" s="149"/>
      <c r="B77" s="306" t="s">
        <v>5</v>
      </c>
      <c r="C77" s="306"/>
      <c r="D77" s="154">
        <f>รายวัน!K39</f>
        <v>0</v>
      </c>
      <c r="E77" s="154"/>
      <c r="F77" s="155"/>
      <c r="G77" s="150" t="s">
        <v>56</v>
      </c>
      <c r="H77" s="156">
        <f>รายวัน!T37</f>
        <v>0</v>
      </c>
      <c r="I77" s="152"/>
    </row>
    <row r="78" spans="1:18" ht="17.100000000000001" customHeight="1" x14ac:dyDescent="0.2">
      <c r="A78" s="149"/>
      <c r="B78" s="150" t="s">
        <v>6</v>
      </c>
      <c r="C78" s="150"/>
      <c r="D78" s="154">
        <f>ข้าราชการ!C555</f>
        <v>0</v>
      </c>
      <c r="E78" s="154"/>
      <c r="F78" s="155"/>
      <c r="G78" s="150" t="s">
        <v>57</v>
      </c>
      <c r="H78" s="156">
        <f>รายวัน!U37</f>
        <v>0</v>
      </c>
      <c r="I78" s="152"/>
    </row>
    <row r="79" spans="1:18" ht="17.100000000000001" customHeight="1" x14ac:dyDescent="0.2">
      <c r="A79" s="149"/>
      <c r="B79" s="150" t="s">
        <v>7</v>
      </c>
      <c r="C79" s="150"/>
      <c r="D79" s="154">
        <v>0</v>
      </c>
      <c r="E79" s="154"/>
      <c r="F79" s="155"/>
      <c r="G79" s="150"/>
      <c r="H79" s="154"/>
      <c r="I79" s="152"/>
    </row>
    <row r="80" spans="1:18" ht="17.100000000000001" customHeight="1" x14ac:dyDescent="0.2">
      <c r="A80" s="149"/>
      <c r="B80" s="307" t="s">
        <v>101</v>
      </c>
      <c r="C80" s="307"/>
      <c r="D80" s="154">
        <f>SUM(D71:D79)</f>
        <v>0</v>
      </c>
      <c r="E80" s="154"/>
      <c r="F80" s="157"/>
      <c r="G80" s="147" t="s">
        <v>102</v>
      </c>
      <c r="H80" s="157">
        <f>SUM(H71:H79)</f>
        <v>0</v>
      </c>
      <c r="I80" s="152"/>
    </row>
    <row r="81" spans="1:9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</row>
    <row r="82" spans="1:9" ht="17.100000000000001" customHeight="1" x14ac:dyDescent="0.2">
      <c r="A82" s="149"/>
      <c r="C82" s="307" t="str">
        <f>"("&amp;BAHTTEXT(D81)&amp;")"</f>
        <v>(ศูนย์บาทถ้วน)</v>
      </c>
      <c r="D82" s="307"/>
      <c r="E82" s="307"/>
      <c r="F82" s="307"/>
      <c r="G82" s="307"/>
      <c r="I82" s="152"/>
    </row>
    <row r="83" spans="1:9" ht="17.100000000000001" customHeight="1" x14ac:dyDescent="0.2">
      <c r="A83" s="149"/>
      <c r="C83" s="147"/>
      <c r="D83" s="147"/>
      <c r="E83" s="147"/>
      <c r="F83" s="147"/>
      <c r="G83" s="147"/>
      <c r="I83" s="152"/>
    </row>
    <row r="84" spans="1:9" ht="17.100000000000001" customHeight="1" x14ac:dyDescent="0.2">
      <c r="A84" s="149"/>
      <c r="C84" s="147"/>
      <c r="D84" s="147"/>
      <c r="E84" s="147"/>
      <c r="F84" s="147"/>
      <c r="G84" s="147"/>
      <c r="I84" s="152"/>
    </row>
    <row r="85" spans="1:9" ht="17.100000000000001" customHeight="1" x14ac:dyDescent="0.2">
      <c r="A85" s="149"/>
      <c r="I85" s="152"/>
    </row>
    <row r="86" spans="1:9" ht="17.100000000000001" customHeight="1" x14ac:dyDescent="0.2">
      <c r="A86" s="149"/>
      <c r="I86" s="152"/>
    </row>
    <row r="87" spans="1:9" ht="17.100000000000001" customHeight="1" x14ac:dyDescent="0.2">
      <c r="A87" s="308" t="s">
        <v>315</v>
      </c>
      <c r="B87" s="307"/>
      <c r="C87" s="307"/>
      <c r="D87" s="307"/>
      <c r="E87" s="307"/>
      <c r="F87" s="307"/>
      <c r="G87" s="307"/>
      <c r="H87" s="307"/>
      <c r="I87" s="309"/>
    </row>
    <row r="88" spans="1:9" ht="17.100000000000001" customHeight="1" x14ac:dyDescent="0.2">
      <c r="A88" s="310" t="s">
        <v>298</v>
      </c>
      <c r="B88" s="311"/>
      <c r="C88" s="311"/>
      <c r="D88" s="311"/>
      <c r="E88" s="311"/>
      <c r="F88" s="311"/>
      <c r="G88" s="311"/>
      <c r="H88" s="311"/>
      <c r="I88" s="312"/>
    </row>
    <row r="89" spans="1:9" ht="17.100000000000001" customHeight="1" x14ac:dyDescent="0.2">
      <c r="A89" s="313" t="str">
        <f>A67</f>
        <v>โรงพยาบาลสามโคก  ประจำเดือน  พฤศจิกายน  2568</v>
      </c>
      <c r="B89" s="314"/>
      <c r="C89" s="314"/>
      <c r="D89" s="314"/>
      <c r="E89" s="314"/>
      <c r="F89" s="314"/>
      <c r="G89" s="314"/>
      <c r="H89" s="314"/>
      <c r="I89" s="315"/>
    </row>
    <row r="90" spans="1:9" ht="17.100000000000001" customHeight="1" x14ac:dyDescent="0.2">
      <c r="A90" s="308" t="s">
        <v>497</v>
      </c>
      <c r="B90" s="307"/>
      <c r="C90" s="307"/>
      <c r="D90" s="307"/>
      <c r="E90" s="307"/>
      <c r="F90" s="307"/>
      <c r="G90" s="307"/>
      <c r="H90" s="307"/>
      <c r="I90" s="309"/>
    </row>
    <row r="91" spans="1:9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</row>
    <row r="92" spans="1:9" ht="17.100000000000001" customHeight="1" x14ac:dyDescent="0.2">
      <c r="A92" s="149"/>
      <c r="B92" s="307" t="s">
        <v>9</v>
      </c>
      <c r="C92" s="307"/>
      <c r="D92" s="307"/>
      <c r="E92" s="147"/>
      <c r="F92" s="147"/>
      <c r="G92" s="147" t="s">
        <v>10</v>
      </c>
      <c r="H92" s="147"/>
      <c r="I92" s="152"/>
    </row>
    <row r="93" spans="1:9" ht="17.100000000000001" customHeight="1" x14ac:dyDescent="0.2">
      <c r="A93" s="149"/>
      <c r="B93" s="150" t="s">
        <v>3</v>
      </c>
      <c r="C93" s="150"/>
      <c r="D93" s="154">
        <f>รายวัน!E38</f>
        <v>0</v>
      </c>
      <c r="E93" s="154"/>
      <c r="F93" s="155"/>
      <c r="G93" s="150" t="s">
        <v>99</v>
      </c>
      <c r="H93" s="154">
        <v>0</v>
      </c>
      <c r="I93" s="152"/>
    </row>
    <row r="94" spans="1:9" ht="17.100000000000001" customHeight="1" x14ac:dyDescent="0.2">
      <c r="A94" s="149"/>
      <c r="B94" s="150" t="s">
        <v>106</v>
      </c>
      <c r="C94" s="150"/>
      <c r="D94" s="154">
        <v>0</v>
      </c>
      <c r="E94" s="154"/>
      <c r="F94" s="155"/>
      <c r="G94" s="150" t="s">
        <v>116</v>
      </c>
      <c r="H94" s="154">
        <f>รายวัน!O38</f>
        <v>0</v>
      </c>
      <c r="I94" s="152"/>
    </row>
    <row r="95" spans="1:9" ht="17.100000000000001" customHeight="1" x14ac:dyDescent="0.2">
      <c r="A95" s="149"/>
      <c r="B95" s="306" t="s">
        <v>140</v>
      </c>
      <c r="C95" s="306"/>
      <c r="D95" s="154">
        <v>0</v>
      </c>
      <c r="E95" s="154"/>
      <c r="F95" s="155"/>
      <c r="G95" s="150" t="s">
        <v>54</v>
      </c>
      <c r="H95" s="154">
        <v>0</v>
      </c>
      <c r="I95" s="152"/>
    </row>
    <row r="96" spans="1:9" ht="17.100000000000001" customHeight="1" x14ac:dyDescent="0.2">
      <c r="A96" s="149"/>
      <c r="B96" s="306" t="s">
        <v>130</v>
      </c>
      <c r="C96" s="306"/>
      <c r="D96" s="154">
        <f>รายวัน!H38</f>
        <v>0</v>
      </c>
      <c r="E96" s="154"/>
      <c r="F96" s="155"/>
      <c r="G96" s="150" t="s">
        <v>100</v>
      </c>
      <c r="H96" s="154">
        <v>0</v>
      </c>
      <c r="I96" s="152"/>
    </row>
    <row r="97" spans="1:9" ht="17.100000000000001" customHeight="1" x14ac:dyDescent="0.2">
      <c r="A97" s="149"/>
      <c r="B97" s="306" t="s">
        <v>661</v>
      </c>
      <c r="C97" s="306"/>
      <c r="D97" s="154">
        <f>รายวัน!I38</f>
        <v>0</v>
      </c>
      <c r="E97" s="154"/>
      <c r="F97" s="155"/>
      <c r="G97" s="150" t="s">
        <v>55</v>
      </c>
      <c r="H97" s="156">
        <v>0</v>
      </c>
      <c r="I97" s="152"/>
    </row>
    <row r="98" spans="1:9" ht="17.100000000000001" customHeight="1" x14ac:dyDescent="0.2">
      <c r="A98" s="149"/>
      <c r="B98" s="306" t="s">
        <v>662</v>
      </c>
      <c r="C98" s="306"/>
      <c r="D98" s="154">
        <f>รายวัน!J38</f>
        <v>0</v>
      </c>
      <c r="E98" s="154"/>
      <c r="F98" s="155"/>
      <c r="G98" s="153" t="s">
        <v>137</v>
      </c>
      <c r="H98" s="156">
        <f>ข้าราชการ!J577</f>
        <v>0</v>
      </c>
      <c r="I98" s="152"/>
    </row>
    <row r="99" spans="1:9" ht="17.100000000000001" customHeight="1" x14ac:dyDescent="0.2">
      <c r="A99" s="149"/>
      <c r="B99" s="306" t="s">
        <v>5</v>
      </c>
      <c r="C99" s="306"/>
      <c r="D99" s="154">
        <f>รายวัน!K38</f>
        <v>0</v>
      </c>
      <c r="E99" s="154"/>
      <c r="F99" s="155"/>
      <c r="G99" s="150" t="s">
        <v>56</v>
      </c>
      <c r="H99" s="156">
        <f>รายวัน!T38</f>
        <v>0</v>
      </c>
      <c r="I99" s="152"/>
    </row>
    <row r="100" spans="1:9" ht="17.100000000000001" customHeight="1" x14ac:dyDescent="0.2">
      <c r="A100" s="149"/>
      <c r="B100" s="150" t="s">
        <v>6</v>
      </c>
      <c r="C100" s="150"/>
      <c r="D100" s="154">
        <f>ข้าราชการ!C577</f>
        <v>0</v>
      </c>
      <c r="E100" s="154"/>
      <c r="F100" s="155"/>
      <c r="G100" s="150" t="s">
        <v>57</v>
      </c>
      <c r="H100" s="156">
        <f>รายวัน!U38</f>
        <v>0</v>
      </c>
      <c r="I100" s="152"/>
    </row>
    <row r="101" spans="1:9" ht="17.100000000000001" customHeight="1" x14ac:dyDescent="0.2">
      <c r="A101" s="149"/>
      <c r="B101" s="150" t="s">
        <v>7</v>
      </c>
      <c r="C101" s="150"/>
      <c r="D101" s="154">
        <v>0</v>
      </c>
      <c r="E101" s="154"/>
      <c r="F101" s="155"/>
      <c r="G101" s="150"/>
      <c r="H101" s="154"/>
      <c r="I101" s="152"/>
    </row>
    <row r="102" spans="1:9" ht="17.100000000000001" customHeight="1" x14ac:dyDescent="0.2">
      <c r="A102" s="149"/>
      <c r="B102" s="307" t="s">
        <v>101</v>
      </c>
      <c r="C102" s="307"/>
      <c r="D102" s="154">
        <f>SUM(D93:D101)</f>
        <v>0</v>
      </c>
      <c r="E102" s="154"/>
      <c r="F102" s="157"/>
      <c r="G102" s="147" t="s">
        <v>102</v>
      </c>
      <c r="H102" s="157">
        <f>SUM(H93:H101)</f>
        <v>0</v>
      </c>
      <c r="I102" s="152"/>
    </row>
    <row r="103" spans="1:9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</row>
    <row r="104" spans="1:9" ht="17.100000000000001" customHeight="1" x14ac:dyDescent="0.2">
      <c r="A104" s="149"/>
      <c r="C104" s="307" t="str">
        <f>"("&amp;BAHTTEXT(D103)&amp;")"</f>
        <v>(ศูนย์บาทถ้วน)</v>
      </c>
      <c r="D104" s="307"/>
      <c r="E104" s="307"/>
      <c r="F104" s="307"/>
      <c r="G104" s="307"/>
      <c r="I104" s="152"/>
    </row>
    <row r="105" spans="1:9" ht="17.100000000000001" customHeight="1" x14ac:dyDescent="0.2">
      <c r="A105" s="149"/>
      <c r="C105" s="147"/>
      <c r="D105" s="147"/>
      <c r="E105" s="147"/>
      <c r="F105" s="147"/>
      <c r="G105" s="147"/>
      <c r="I105" s="152"/>
    </row>
    <row r="106" spans="1:9" ht="17.100000000000001" customHeight="1" x14ac:dyDescent="0.2">
      <c r="A106" s="149"/>
      <c r="C106" s="147"/>
      <c r="D106" s="147"/>
      <c r="E106" s="147"/>
      <c r="F106" s="147"/>
      <c r="G106" s="147"/>
      <c r="I106" s="152"/>
    </row>
    <row r="107" spans="1:9" ht="17.100000000000001" customHeight="1" x14ac:dyDescent="0.2">
      <c r="A107" s="149"/>
      <c r="I107" s="152"/>
    </row>
    <row r="108" spans="1:9" ht="17.100000000000001" customHeight="1" x14ac:dyDescent="0.2">
      <c r="A108" s="149"/>
      <c r="I108" s="152"/>
    </row>
    <row r="109" spans="1:9" ht="17.100000000000001" customHeight="1" x14ac:dyDescent="0.2">
      <c r="A109" s="308" t="s">
        <v>315</v>
      </c>
      <c r="B109" s="307"/>
      <c r="C109" s="307"/>
      <c r="D109" s="307"/>
      <c r="E109" s="307"/>
      <c r="F109" s="307"/>
      <c r="G109" s="307"/>
      <c r="H109" s="307"/>
      <c r="I109" s="309"/>
    </row>
    <row r="110" spans="1:9" ht="17.100000000000001" customHeight="1" x14ac:dyDescent="0.2">
      <c r="A110" s="310" t="s">
        <v>298</v>
      </c>
      <c r="B110" s="311"/>
      <c r="C110" s="311"/>
      <c r="D110" s="311"/>
      <c r="E110" s="311"/>
      <c r="F110" s="311"/>
      <c r="G110" s="311"/>
      <c r="H110" s="311"/>
      <c r="I110" s="312"/>
    </row>
    <row r="111" spans="1:9" ht="17.100000000000001" customHeight="1" x14ac:dyDescent="0.2">
      <c r="A111" s="313" t="str">
        <f>A45</f>
        <v>โรงพยาบาลสามโคก  ประจำเดือน  พฤศจิกายน  2568</v>
      </c>
      <c r="B111" s="314"/>
      <c r="C111" s="314"/>
      <c r="D111" s="314"/>
      <c r="E111" s="314"/>
      <c r="F111" s="314"/>
      <c r="G111" s="314"/>
      <c r="H111" s="314"/>
      <c r="I111" s="315"/>
    </row>
    <row r="112" spans="1:9" ht="17.100000000000001" customHeight="1" x14ac:dyDescent="0.2">
      <c r="A112" s="308" t="s">
        <v>559</v>
      </c>
      <c r="B112" s="307"/>
      <c r="C112" s="307"/>
      <c r="D112" s="307"/>
      <c r="E112" s="307"/>
      <c r="F112" s="307"/>
      <c r="G112" s="307"/>
      <c r="H112" s="307"/>
      <c r="I112" s="309"/>
    </row>
    <row r="113" spans="1:9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</row>
    <row r="114" spans="1:9" ht="17.100000000000001" customHeight="1" x14ac:dyDescent="0.2">
      <c r="A114" s="149"/>
      <c r="B114" s="307" t="s">
        <v>9</v>
      </c>
      <c r="C114" s="307"/>
      <c r="D114" s="307"/>
      <c r="E114" s="147"/>
      <c r="F114" s="147"/>
      <c r="G114" s="147" t="s">
        <v>10</v>
      </c>
      <c r="H114" s="147"/>
      <c r="I114" s="152"/>
    </row>
    <row r="115" spans="1:9" ht="17.100000000000001" customHeight="1" x14ac:dyDescent="0.2">
      <c r="A115" s="149"/>
      <c r="B115" s="150" t="s">
        <v>3</v>
      </c>
      <c r="C115" s="150"/>
      <c r="D115" s="154">
        <f>รายวัน!E39</f>
        <v>0</v>
      </c>
      <c r="E115" s="154"/>
      <c r="F115" s="155"/>
      <c r="G115" s="150" t="s">
        <v>99</v>
      </c>
      <c r="H115" s="154">
        <v>0</v>
      </c>
      <c r="I115" s="152"/>
    </row>
    <row r="116" spans="1:9" ht="17.100000000000001" customHeight="1" x14ac:dyDescent="0.2">
      <c r="A116" s="149"/>
      <c r="B116" s="150" t="s">
        <v>106</v>
      </c>
      <c r="C116" s="150"/>
      <c r="D116" s="154">
        <v>0</v>
      </c>
      <c r="E116" s="154"/>
      <c r="F116" s="155"/>
      <c r="G116" s="150" t="s">
        <v>116</v>
      </c>
      <c r="H116" s="154">
        <f>รายวัน!O39</f>
        <v>0</v>
      </c>
      <c r="I116" s="152"/>
    </row>
    <row r="117" spans="1:9" ht="17.100000000000001" customHeight="1" x14ac:dyDescent="0.2">
      <c r="A117" s="149"/>
      <c r="B117" s="306" t="s">
        <v>140</v>
      </c>
      <c r="C117" s="306"/>
      <c r="D117" s="154">
        <v>0</v>
      </c>
      <c r="E117" s="154"/>
      <c r="F117" s="155"/>
      <c r="G117" s="150" t="s">
        <v>54</v>
      </c>
      <c r="H117" s="154">
        <v>0</v>
      </c>
      <c r="I117" s="152"/>
    </row>
    <row r="118" spans="1:9" ht="17.100000000000001" customHeight="1" x14ac:dyDescent="0.2">
      <c r="A118" s="149"/>
      <c r="B118" s="306" t="s">
        <v>130</v>
      </c>
      <c r="C118" s="306"/>
      <c r="D118" s="154">
        <f>รายวัน!H39</f>
        <v>0</v>
      </c>
      <c r="E118" s="154"/>
      <c r="F118" s="155"/>
      <c r="G118" s="150" t="s">
        <v>100</v>
      </c>
      <c r="H118" s="154">
        <v>0</v>
      </c>
      <c r="I118" s="152"/>
    </row>
    <row r="119" spans="1:9" ht="17.100000000000001" customHeight="1" x14ac:dyDescent="0.2">
      <c r="A119" s="149"/>
      <c r="B119" s="306" t="s">
        <v>661</v>
      </c>
      <c r="C119" s="306"/>
      <c r="D119" s="154">
        <f>รายวัน!I39</f>
        <v>0</v>
      </c>
      <c r="E119" s="154"/>
      <c r="F119" s="155"/>
      <c r="G119" s="150" t="s">
        <v>55</v>
      </c>
      <c r="H119" s="156">
        <v>0</v>
      </c>
      <c r="I119" s="152"/>
    </row>
    <row r="120" spans="1:9" ht="17.100000000000001" customHeight="1" x14ac:dyDescent="0.2">
      <c r="A120" s="149"/>
      <c r="B120" s="306" t="s">
        <v>120</v>
      </c>
      <c r="C120" s="306"/>
      <c r="D120" s="154">
        <f>รายวัน!J39</f>
        <v>0</v>
      </c>
      <c r="E120" s="154"/>
      <c r="F120" s="155"/>
      <c r="G120" s="153" t="s">
        <v>137</v>
      </c>
      <c r="H120" s="156">
        <f>ข้าราชการ!J599</f>
        <v>0</v>
      </c>
      <c r="I120" s="152"/>
    </row>
    <row r="121" spans="1:9" ht="17.100000000000001" customHeight="1" x14ac:dyDescent="0.2">
      <c r="A121" s="149"/>
      <c r="B121" s="306" t="s">
        <v>5</v>
      </c>
      <c r="C121" s="306"/>
      <c r="D121" s="154">
        <f>รายวัน!K42</f>
        <v>0</v>
      </c>
      <c r="E121" s="154"/>
      <c r="F121" s="155"/>
      <c r="G121" s="150" t="s">
        <v>56</v>
      </c>
      <c r="H121" s="156">
        <f>รายวัน!T39</f>
        <v>0</v>
      </c>
      <c r="I121" s="152"/>
    </row>
    <row r="122" spans="1:9" ht="17.100000000000001" customHeight="1" x14ac:dyDescent="0.2">
      <c r="A122" s="149"/>
      <c r="B122" s="150" t="s">
        <v>6</v>
      </c>
      <c r="C122" s="150"/>
      <c r="D122" s="154">
        <f>ข้าราชการ!C599</f>
        <v>0</v>
      </c>
      <c r="E122" s="154"/>
      <c r="F122" s="155"/>
      <c r="G122" s="150" t="s">
        <v>57</v>
      </c>
      <c r="H122" s="156">
        <f>รายวัน!U39</f>
        <v>0</v>
      </c>
      <c r="I122" s="152"/>
    </row>
    <row r="123" spans="1:9" ht="17.100000000000001" customHeight="1" x14ac:dyDescent="0.2">
      <c r="A123" s="149"/>
      <c r="B123" s="150" t="s">
        <v>7</v>
      </c>
      <c r="C123" s="150"/>
      <c r="D123" s="154">
        <v>0</v>
      </c>
      <c r="E123" s="154"/>
      <c r="F123" s="155"/>
      <c r="G123" s="150"/>
      <c r="H123" s="154"/>
      <c r="I123" s="152"/>
    </row>
    <row r="124" spans="1:9" ht="17.100000000000001" customHeight="1" x14ac:dyDescent="0.2">
      <c r="A124" s="149"/>
      <c r="B124" s="307" t="s">
        <v>101</v>
      </c>
      <c r="C124" s="307"/>
      <c r="D124" s="154">
        <f>SUM(D115:D123)</f>
        <v>0</v>
      </c>
      <c r="E124" s="154"/>
      <c r="F124" s="157"/>
      <c r="G124" s="147" t="s">
        <v>102</v>
      </c>
      <c r="H124" s="157">
        <f>SUM(H115:H123)</f>
        <v>0</v>
      </c>
      <c r="I124" s="152"/>
    </row>
    <row r="125" spans="1:9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</row>
    <row r="126" spans="1:9" ht="17.100000000000001" customHeight="1" x14ac:dyDescent="0.2">
      <c r="A126" s="149"/>
      <c r="C126" s="307" t="str">
        <f>"("&amp;BAHTTEXT(D125)&amp;")"</f>
        <v>(ศูนย์บาทถ้วน)</v>
      </c>
      <c r="D126" s="307"/>
      <c r="E126" s="307"/>
      <c r="F126" s="307"/>
      <c r="G126" s="307"/>
      <c r="I126" s="152"/>
    </row>
    <row r="127" spans="1:9" ht="17.100000000000001" customHeight="1" x14ac:dyDescent="0.2">
      <c r="A127" s="149"/>
      <c r="C127" s="147"/>
      <c r="D127" s="147"/>
      <c r="E127" s="147"/>
      <c r="F127" s="147"/>
      <c r="G127" s="147"/>
      <c r="I127" s="152"/>
    </row>
    <row r="128" spans="1:9" ht="17.100000000000001" customHeight="1" x14ac:dyDescent="0.2">
      <c r="A128" s="149"/>
      <c r="C128" s="147"/>
      <c r="D128" s="147"/>
      <c r="E128" s="147"/>
      <c r="F128" s="147"/>
      <c r="G128" s="147"/>
      <c r="I128" s="152"/>
    </row>
    <row r="129" spans="1:9" ht="17.100000000000001" customHeight="1" x14ac:dyDescent="0.2">
      <c r="A129" s="149"/>
      <c r="I129" s="152"/>
    </row>
    <row r="130" spans="1:9" ht="17.100000000000001" customHeight="1" x14ac:dyDescent="0.2">
      <c r="A130" s="149"/>
      <c r="I130" s="152"/>
    </row>
    <row r="131" spans="1:9" ht="17.100000000000001" customHeight="1" x14ac:dyDescent="0.2">
      <c r="A131" s="308" t="s">
        <v>315</v>
      </c>
      <c r="B131" s="307"/>
      <c r="C131" s="307"/>
      <c r="D131" s="307"/>
      <c r="E131" s="307"/>
      <c r="F131" s="307"/>
      <c r="G131" s="307"/>
      <c r="H131" s="307"/>
      <c r="I131" s="309"/>
    </row>
    <row r="132" spans="1:9" ht="17.100000000000001" customHeight="1" x14ac:dyDescent="0.2">
      <c r="A132" s="310" t="s">
        <v>298</v>
      </c>
      <c r="B132" s="311"/>
      <c r="C132" s="311"/>
      <c r="D132" s="311"/>
      <c r="E132" s="311"/>
      <c r="F132" s="311"/>
      <c r="G132" s="311"/>
      <c r="H132" s="311"/>
      <c r="I132" s="312"/>
    </row>
    <row r="133" spans="1:9" ht="17.100000000000001" customHeight="1" x14ac:dyDescent="0.2">
      <c r="A133" s="313" t="str">
        <f>A67</f>
        <v>โรงพยาบาลสามโคก  ประจำเดือน  พฤศจิกายน  2568</v>
      </c>
      <c r="B133" s="314"/>
      <c r="C133" s="314"/>
      <c r="D133" s="314"/>
      <c r="E133" s="314"/>
      <c r="F133" s="314"/>
      <c r="G133" s="314"/>
      <c r="H133" s="314"/>
      <c r="I133" s="315"/>
    </row>
    <row r="134" spans="1:9" ht="17.100000000000001" customHeight="1" x14ac:dyDescent="0.2">
      <c r="A134" s="308" t="s">
        <v>560</v>
      </c>
      <c r="B134" s="307"/>
      <c r="C134" s="307"/>
      <c r="D134" s="307"/>
      <c r="E134" s="307"/>
      <c r="F134" s="307"/>
      <c r="G134" s="307"/>
      <c r="H134" s="307"/>
      <c r="I134" s="309"/>
    </row>
    <row r="135" spans="1:9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</row>
    <row r="136" spans="1:9" ht="17.100000000000001" customHeight="1" x14ac:dyDescent="0.2">
      <c r="A136" s="149"/>
      <c r="B136" s="307" t="s">
        <v>9</v>
      </c>
      <c r="C136" s="307"/>
      <c r="D136" s="307"/>
      <c r="E136" s="147"/>
      <c r="F136" s="147"/>
      <c r="G136" s="147" t="s">
        <v>10</v>
      </c>
      <c r="H136" s="147"/>
      <c r="I136" s="152"/>
    </row>
    <row r="137" spans="1:9" ht="17.100000000000001" customHeight="1" x14ac:dyDescent="0.2">
      <c r="A137" s="149"/>
      <c r="B137" s="150" t="s">
        <v>3</v>
      </c>
      <c r="C137" s="150"/>
      <c r="D137" s="154">
        <f>รายวัน!E40</f>
        <v>0</v>
      </c>
      <c r="E137" s="154"/>
      <c r="F137" s="155"/>
      <c r="G137" s="150" t="s">
        <v>99</v>
      </c>
      <c r="H137" s="154">
        <v>0</v>
      </c>
      <c r="I137" s="152"/>
    </row>
    <row r="138" spans="1:9" ht="17.100000000000001" customHeight="1" x14ac:dyDescent="0.2">
      <c r="A138" s="149"/>
      <c r="B138" s="150" t="s">
        <v>106</v>
      </c>
      <c r="C138" s="150"/>
      <c r="D138" s="154">
        <v>0</v>
      </c>
      <c r="E138" s="154"/>
      <c r="F138" s="155"/>
      <c r="G138" s="150" t="s">
        <v>116</v>
      </c>
      <c r="H138" s="154">
        <f>รายวัน!O40</f>
        <v>0</v>
      </c>
      <c r="I138" s="152"/>
    </row>
    <row r="139" spans="1:9" ht="17.100000000000001" customHeight="1" x14ac:dyDescent="0.2">
      <c r="A139" s="149"/>
      <c r="B139" s="306" t="s">
        <v>140</v>
      </c>
      <c r="C139" s="306"/>
      <c r="D139" s="154">
        <v>0</v>
      </c>
      <c r="E139" s="154"/>
      <c r="F139" s="155"/>
      <c r="G139" s="150" t="s">
        <v>54</v>
      </c>
      <c r="H139" s="154">
        <v>0</v>
      </c>
      <c r="I139" s="152"/>
    </row>
    <row r="140" spans="1:9" ht="17.100000000000001" customHeight="1" x14ac:dyDescent="0.2">
      <c r="A140" s="149"/>
      <c r="B140" s="306" t="s">
        <v>130</v>
      </c>
      <c r="C140" s="306"/>
      <c r="D140" s="154">
        <f>รายวัน!H40</f>
        <v>0</v>
      </c>
      <c r="E140" s="154"/>
      <c r="F140" s="155"/>
      <c r="G140" s="150" t="s">
        <v>100</v>
      </c>
      <c r="H140" s="154">
        <v>0</v>
      </c>
      <c r="I140" s="152"/>
    </row>
    <row r="141" spans="1:9" ht="17.100000000000001" customHeight="1" x14ac:dyDescent="0.2">
      <c r="A141" s="149"/>
      <c r="B141" s="306" t="s">
        <v>661</v>
      </c>
      <c r="C141" s="306"/>
      <c r="D141" s="154">
        <f>รายวัน!I40</f>
        <v>0</v>
      </c>
      <c r="E141" s="154"/>
      <c r="F141" s="155"/>
      <c r="G141" s="150" t="s">
        <v>55</v>
      </c>
      <c r="H141" s="156">
        <v>0</v>
      </c>
      <c r="I141" s="152"/>
    </row>
    <row r="142" spans="1:9" ht="17.100000000000001" customHeight="1" x14ac:dyDescent="0.2">
      <c r="A142" s="149"/>
      <c r="B142" s="306" t="s">
        <v>662</v>
      </c>
      <c r="C142" s="306"/>
      <c r="D142" s="154">
        <f>รายวัน!J40</f>
        <v>0</v>
      </c>
      <c r="E142" s="154"/>
      <c r="F142" s="155"/>
      <c r="G142" s="153" t="s">
        <v>377</v>
      </c>
      <c r="H142" s="156">
        <f>รายวัน!S40</f>
        <v>0</v>
      </c>
      <c r="I142" s="152"/>
    </row>
    <row r="143" spans="1:9" ht="17.100000000000001" customHeight="1" x14ac:dyDescent="0.2">
      <c r="A143" s="149"/>
      <c r="B143" s="306" t="s">
        <v>5</v>
      </c>
      <c r="C143" s="306"/>
      <c r="D143" s="154">
        <f>รายวัน!K43</f>
        <v>0</v>
      </c>
      <c r="E143" s="154"/>
      <c r="F143" s="155"/>
      <c r="G143" s="150" t="s">
        <v>56</v>
      </c>
      <c r="H143" s="156">
        <f>รายวัน!T40</f>
        <v>0</v>
      </c>
      <c r="I143" s="152"/>
    </row>
    <row r="144" spans="1:9" ht="17.100000000000001" customHeight="1" x14ac:dyDescent="0.2">
      <c r="A144" s="149"/>
      <c r="B144" s="150" t="s">
        <v>6</v>
      </c>
      <c r="C144" s="150"/>
      <c r="D144" s="154">
        <f>ข้าราชการ!C621</f>
        <v>0</v>
      </c>
      <c r="E144" s="154"/>
      <c r="F144" s="155"/>
      <c r="G144" s="150" t="s">
        <v>57</v>
      </c>
      <c r="H144" s="156">
        <f>รายวัน!U40</f>
        <v>0</v>
      </c>
      <c r="I144" s="152"/>
    </row>
    <row r="145" spans="1:9" ht="17.100000000000001" customHeight="1" x14ac:dyDescent="0.2">
      <c r="A145" s="149"/>
      <c r="B145" s="150" t="s">
        <v>7</v>
      </c>
      <c r="C145" s="150"/>
      <c r="D145" s="154">
        <v>0</v>
      </c>
      <c r="E145" s="154"/>
      <c r="F145" s="155"/>
      <c r="G145" s="150"/>
      <c r="H145" s="154"/>
      <c r="I145" s="152"/>
    </row>
    <row r="146" spans="1:9" ht="17.100000000000001" customHeight="1" x14ac:dyDescent="0.2">
      <c r="A146" s="149"/>
      <c r="B146" s="307" t="s">
        <v>101</v>
      </c>
      <c r="C146" s="307"/>
      <c r="D146" s="154">
        <f>SUM(D137:D145)</f>
        <v>0</v>
      </c>
      <c r="E146" s="154"/>
      <c r="F146" s="157"/>
      <c r="G146" s="147" t="s">
        <v>102</v>
      </c>
      <c r="H146" s="157">
        <f>SUM(H137:H145)</f>
        <v>0</v>
      </c>
      <c r="I146" s="152"/>
    </row>
    <row r="147" spans="1:9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</row>
    <row r="148" spans="1:9" ht="17.100000000000001" customHeight="1" x14ac:dyDescent="0.2">
      <c r="A148" s="149"/>
      <c r="C148" s="307" t="str">
        <f>"("&amp;BAHTTEXT(D147)&amp;")"</f>
        <v>(ศูนย์บาทถ้วน)</v>
      </c>
      <c r="D148" s="307"/>
      <c r="E148" s="307"/>
      <c r="F148" s="307"/>
      <c r="G148" s="307"/>
      <c r="I148" s="152"/>
    </row>
    <row r="149" spans="1:9" ht="17.100000000000001" customHeight="1" x14ac:dyDescent="0.2">
      <c r="A149" s="149"/>
      <c r="C149" s="147"/>
      <c r="D149" s="147"/>
      <c r="E149" s="147"/>
      <c r="F149" s="147"/>
      <c r="G149" s="147"/>
      <c r="I149" s="152"/>
    </row>
    <row r="150" spans="1:9" ht="17.100000000000001" customHeight="1" x14ac:dyDescent="0.2">
      <c r="A150" s="149"/>
      <c r="C150" s="147"/>
      <c r="D150" s="147"/>
      <c r="E150" s="147"/>
      <c r="F150" s="147"/>
      <c r="G150" s="147"/>
      <c r="I150" s="152"/>
    </row>
    <row r="151" spans="1:9" ht="17.100000000000001" customHeight="1" x14ac:dyDescent="0.2">
      <c r="A151" s="149"/>
      <c r="I151" s="152"/>
    </row>
    <row r="152" spans="1:9" ht="17.100000000000001" customHeight="1" x14ac:dyDescent="0.2">
      <c r="A152" s="149"/>
      <c r="I152" s="152"/>
    </row>
    <row r="153" spans="1:9" ht="17.100000000000001" customHeight="1" x14ac:dyDescent="0.2">
      <c r="A153" s="308" t="s">
        <v>315</v>
      </c>
      <c r="B153" s="307"/>
      <c r="C153" s="307"/>
      <c r="D153" s="307"/>
      <c r="E153" s="307"/>
      <c r="F153" s="307"/>
      <c r="G153" s="307"/>
      <c r="H153" s="307"/>
      <c r="I153" s="309"/>
    </row>
    <row r="154" spans="1:9" ht="17.100000000000001" customHeight="1" x14ac:dyDescent="0.2">
      <c r="A154" s="310" t="s">
        <v>298</v>
      </c>
      <c r="B154" s="311"/>
      <c r="C154" s="311"/>
      <c r="D154" s="311"/>
      <c r="E154" s="311"/>
      <c r="F154" s="311"/>
      <c r="G154" s="311"/>
      <c r="H154" s="311"/>
      <c r="I154" s="312"/>
    </row>
    <row r="155" spans="1:9" ht="17.100000000000001" customHeight="1" x14ac:dyDescent="0.2">
      <c r="A155" s="313" t="str">
        <f>A111</f>
        <v>โรงพยาบาลสามโคก  ประจำเดือน  พฤศจิกายน  2568</v>
      </c>
      <c r="B155" s="314"/>
      <c r="C155" s="314"/>
      <c r="D155" s="314"/>
      <c r="E155" s="314"/>
      <c r="F155" s="314"/>
      <c r="G155" s="314"/>
      <c r="H155" s="314"/>
      <c r="I155" s="315"/>
    </row>
    <row r="156" spans="1:9" ht="17.100000000000001" customHeight="1" x14ac:dyDescent="0.2">
      <c r="A156" s="308" t="s">
        <v>571</v>
      </c>
      <c r="B156" s="307"/>
      <c r="C156" s="307"/>
      <c r="D156" s="307"/>
      <c r="E156" s="307"/>
      <c r="F156" s="307"/>
      <c r="G156" s="307"/>
      <c r="H156" s="307"/>
      <c r="I156" s="309"/>
    </row>
    <row r="157" spans="1:9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</row>
    <row r="158" spans="1:9" ht="17.100000000000001" customHeight="1" x14ac:dyDescent="0.2">
      <c r="A158" s="149"/>
      <c r="B158" s="307" t="s">
        <v>9</v>
      </c>
      <c r="C158" s="307"/>
      <c r="D158" s="307"/>
      <c r="E158" s="147"/>
      <c r="F158" s="147"/>
      <c r="G158" s="147" t="s">
        <v>10</v>
      </c>
      <c r="H158" s="147"/>
      <c r="I158" s="152"/>
    </row>
    <row r="159" spans="1:9" ht="17.100000000000001" customHeight="1" x14ac:dyDescent="0.2">
      <c r="A159" s="149"/>
      <c r="B159" s="150" t="s">
        <v>3</v>
      </c>
      <c r="C159" s="150"/>
      <c r="D159" s="154">
        <f>รายวัน!E41</f>
        <v>0</v>
      </c>
      <c r="E159" s="154"/>
      <c r="F159" s="155"/>
      <c r="G159" s="150" t="s">
        <v>99</v>
      </c>
      <c r="H159" s="154">
        <v>0</v>
      </c>
      <c r="I159" s="152"/>
    </row>
    <row r="160" spans="1:9" ht="17.100000000000001" customHeight="1" x14ac:dyDescent="0.2">
      <c r="A160" s="149"/>
      <c r="B160" s="150" t="s">
        <v>106</v>
      </c>
      <c r="C160" s="150"/>
      <c r="D160" s="154">
        <v>0</v>
      </c>
      <c r="E160" s="154"/>
      <c r="F160" s="155"/>
      <c r="G160" s="150" t="s">
        <v>116</v>
      </c>
      <c r="H160" s="154">
        <f>รายวัน!O41</f>
        <v>0</v>
      </c>
      <c r="I160" s="152"/>
    </row>
    <row r="161" spans="1:9" ht="17.100000000000001" customHeight="1" x14ac:dyDescent="0.2">
      <c r="A161" s="149"/>
      <c r="B161" s="306" t="s">
        <v>140</v>
      </c>
      <c r="C161" s="306"/>
      <c r="D161" s="154">
        <v>0</v>
      </c>
      <c r="E161" s="154"/>
      <c r="F161" s="155"/>
      <c r="G161" s="150" t="s">
        <v>54</v>
      </c>
      <c r="H161" s="154">
        <v>0</v>
      </c>
      <c r="I161" s="152"/>
    </row>
    <row r="162" spans="1:9" ht="17.100000000000001" customHeight="1" x14ac:dyDescent="0.2">
      <c r="A162" s="149"/>
      <c r="B162" s="306" t="s">
        <v>130</v>
      </c>
      <c r="C162" s="306"/>
      <c r="D162" s="154">
        <f>รายวัน!H41</f>
        <v>0</v>
      </c>
      <c r="E162" s="154"/>
      <c r="F162" s="155"/>
      <c r="G162" s="150" t="s">
        <v>100</v>
      </c>
      <c r="H162" s="154">
        <v>0</v>
      </c>
      <c r="I162" s="152"/>
    </row>
    <row r="163" spans="1:9" ht="17.100000000000001" customHeight="1" x14ac:dyDescent="0.2">
      <c r="A163" s="149"/>
      <c r="B163" s="306" t="s">
        <v>661</v>
      </c>
      <c r="C163" s="306"/>
      <c r="D163" s="154">
        <f>รายวัน!I41</f>
        <v>0</v>
      </c>
      <c r="E163" s="154"/>
      <c r="F163" s="155"/>
      <c r="G163" s="150" t="s">
        <v>55</v>
      </c>
      <c r="H163" s="156">
        <v>0</v>
      </c>
      <c r="I163" s="152"/>
    </row>
    <row r="164" spans="1:9" ht="17.100000000000001" customHeight="1" x14ac:dyDescent="0.2">
      <c r="A164" s="149"/>
      <c r="B164" s="306" t="s">
        <v>119</v>
      </c>
      <c r="C164" s="306"/>
      <c r="D164" s="154">
        <f>รายวัน!J41</f>
        <v>0</v>
      </c>
      <c r="E164" s="154"/>
      <c r="F164" s="155"/>
      <c r="G164" s="153" t="s">
        <v>377</v>
      </c>
      <c r="H164" s="156">
        <f>รายวัน!S41</f>
        <v>0</v>
      </c>
      <c r="I164" s="152"/>
    </row>
    <row r="165" spans="1:9" ht="17.100000000000001" customHeight="1" x14ac:dyDescent="0.2">
      <c r="A165" s="149"/>
      <c r="B165" s="306" t="s">
        <v>136</v>
      </c>
      <c r="C165" s="306"/>
      <c r="D165" s="154">
        <f>รายวัน!K44</f>
        <v>0</v>
      </c>
      <c r="E165" s="154"/>
      <c r="F165" s="155"/>
      <c r="G165" s="150" t="s">
        <v>56</v>
      </c>
      <c r="H165" s="156">
        <f>รายวัน!T41</f>
        <v>0</v>
      </c>
      <c r="I165" s="152"/>
    </row>
    <row r="166" spans="1:9" ht="17.100000000000001" customHeight="1" x14ac:dyDescent="0.2">
      <c r="A166" s="149"/>
      <c r="B166" s="150" t="s">
        <v>6</v>
      </c>
      <c r="C166" s="150"/>
      <c r="D166" s="154">
        <f>ข้าราชการ!C665</f>
        <v>0</v>
      </c>
      <c r="E166" s="154"/>
      <c r="F166" s="155"/>
      <c r="G166" s="150" t="s">
        <v>57</v>
      </c>
      <c r="H166" s="156">
        <f>รายวัน!U41</f>
        <v>0</v>
      </c>
      <c r="I166" s="152"/>
    </row>
    <row r="167" spans="1:9" ht="17.100000000000001" customHeight="1" x14ac:dyDescent="0.2">
      <c r="A167" s="149"/>
      <c r="B167" s="150" t="s">
        <v>7</v>
      </c>
      <c r="C167" s="150"/>
      <c r="D167" s="154">
        <v>0</v>
      </c>
      <c r="E167" s="154"/>
      <c r="F167" s="155"/>
      <c r="G167" s="150"/>
      <c r="H167" s="154"/>
      <c r="I167" s="152"/>
    </row>
    <row r="168" spans="1:9" ht="17.100000000000001" customHeight="1" x14ac:dyDescent="0.2">
      <c r="A168" s="149"/>
      <c r="B168" s="307" t="s">
        <v>101</v>
      </c>
      <c r="C168" s="307"/>
      <c r="D168" s="154">
        <f>SUM(D159:D167)</f>
        <v>0</v>
      </c>
      <c r="E168" s="154"/>
      <c r="F168" s="157"/>
      <c r="G168" s="147" t="s">
        <v>102</v>
      </c>
      <c r="H168" s="157">
        <f>SUM(H159:H167)</f>
        <v>0</v>
      </c>
      <c r="I168" s="152"/>
    </row>
    <row r="169" spans="1:9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</row>
    <row r="170" spans="1:9" ht="17.100000000000001" customHeight="1" x14ac:dyDescent="0.2">
      <c r="A170" s="149"/>
      <c r="C170" s="307" t="str">
        <f>"("&amp;BAHTTEXT(D169)&amp;")"</f>
        <v>(ศูนย์บาทถ้วน)</v>
      </c>
      <c r="D170" s="307"/>
      <c r="E170" s="307"/>
      <c r="F170" s="307"/>
      <c r="G170" s="307"/>
      <c r="I170" s="152"/>
    </row>
    <row r="171" spans="1:9" ht="17.100000000000001" customHeight="1" x14ac:dyDescent="0.2">
      <c r="A171" s="149"/>
      <c r="C171" s="147"/>
      <c r="D171" s="147"/>
      <c r="E171" s="147"/>
      <c r="F171" s="147"/>
      <c r="G171" s="147"/>
      <c r="I171" s="152"/>
    </row>
    <row r="172" spans="1:9" ht="17.100000000000001" customHeight="1" x14ac:dyDescent="0.2">
      <c r="A172" s="149"/>
      <c r="C172" s="147"/>
      <c r="D172" s="147"/>
      <c r="E172" s="147"/>
      <c r="F172" s="147"/>
      <c r="G172" s="147"/>
      <c r="I172" s="152"/>
    </row>
    <row r="173" spans="1:9" ht="17.100000000000001" customHeight="1" x14ac:dyDescent="0.2">
      <c r="A173" s="149"/>
      <c r="I173" s="152"/>
    </row>
    <row r="174" spans="1:9" ht="17.100000000000001" customHeight="1" x14ac:dyDescent="0.2">
      <c r="A174" s="149"/>
      <c r="I174" s="152"/>
    </row>
    <row r="175" spans="1:9" ht="17.100000000000001" customHeight="1" x14ac:dyDescent="0.2">
      <c r="A175" s="308" t="s">
        <v>315</v>
      </c>
      <c r="B175" s="307"/>
      <c r="C175" s="307"/>
      <c r="D175" s="307"/>
      <c r="E175" s="307"/>
      <c r="F175" s="307"/>
      <c r="G175" s="307"/>
      <c r="H175" s="307"/>
      <c r="I175" s="309"/>
    </row>
    <row r="176" spans="1:9" ht="17.100000000000001" customHeight="1" x14ac:dyDescent="0.2">
      <c r="A176" s="310" t="s">
        <v>298</v>
      </c>
      <c r="B176" s="311"/>
      <c r="C176" s="311"/>
      <c r="D176" s="311"/>
      <c r="E176" s="311"/>
      <c r="F176" s="311"/>
      <c r="G176" s="311"/>
      <c r="H176" s="311"/>
      <c r="I176" s="312"/>
    </row>
    <row r="177" spans="1:9" ht="17.100000000000001" customHeight="1" x14ac:dyDescent="0.2">
      <c r="A177" s="313" t="str">
        <f>รว!J199</f>
        <v>โรงพยาบาลสามโคก  ประจำเดือน  พฤศจิกายน  2568</v>
      </c>
      <c r="B177" s="314"/>
      <c r="C177" s="314"/>
      <c r="D177" s="314"/>
      <c r="E177" s="314"/>
      <c r="F177" s="314"/>
      <c r="G177" s="314"/>
      <c r="H177" s="314"/>
      <c r="I177" s="315"/>
    </row>
    <row r="178" spans="1:9" ht="17.100000000000001" customHeight="1" x14ac:dyDescent="0.2">
      <c r="A178" s="308" t="s">
        <v>581</v>
      </c>
      <c r="B178" s="307"/>
      <c r="C178" s="307"/>
      <c r="D178" s="307"/>
      <c r="E178" s="307"/>
      <c r="F178" s="307"/>
      <c r="G178" s="307"/>
      <c r="H178" s="307"/>
      <c r="I178" s="309"/>
    </row>
    <row r="179" spans="1:9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</row>
    <row r="180" spans="1:9" ht="17.100000000000001" customHeight="1" x14ac:dyDescent="0.2">
      <c r="A180" s="149"/>
      <c r="B180" s="307" t="s">
        <v>9</v>
      </c>
      <c r="C180" s="307"/>
      <c r="D180" s="307"/>
      <c r="E180" s="147"/>
      <c r="F180" s="147"/>
      <c r="G180" s="147" t="s">
        <v>10</v>
      </c>
      <c r="H180" s="147"/>
      <c r="I180" s="152"/>
    </row>
    <row r="181" spans="1:9" ht="17.100000000000001" customHeight="1" x14ac:dyDescent="0.2">
      <c r="A181" s="149"/>
      <c r="B181" s="150" t="s">
        <v>3</v>
      </c>
      <c r="C181" s="150"/>
      <c r="D181" s="154">
        <f>รายวัน!E42</f>
        <v>0</v>
      </c>
      <c r="E181" s="154"/>
      <c r="F181" s="155"/>
      <c r="G181" s="150" t="s">
        <v>99</v>
      </c>
      <c r="H181" s="154">
        <v>0</v>
      </c>
      <c r="I181" s="152"/>
    </row>
    <row r="182" spans="1:9" ht="17.100000000000001" customHeight="1" x14ac:dyDescent="0.2">
      <c r="A182" s="149"/>
      <c r="B182" s="150" t="s">
        <v>106</v>
      </c>
      <c r="C182" s="150"/>
      <c r="D182" s="154">
        <v>0</v>
      </c>
      <c r="E182" s="154"/>
      <c r="F182" s="155"/>
      <c r="G182" s="150" t="s">
        <v>116</v>
      </c>
      <c r="H182" s="154">
        <f>รายวัน!O42</f>
        <v>0</v>
      </c>
      <c r="I182" s="152"/>
    </row>
    <row r="183" spans="1:9" ht="17.100000000000001" customHeight="1" x14ac:dyDescent="0.2">
      <c r="A183" s="149"/>
      <c r="B183" s="306" t="s">
        <v>140</v>
      </c>
      <c r="C183" s="306"/>
      <c r="D183" s="154">
        <v>0</v>
      </c>
      <c r="E183" s="154"/>
      <c r="F183" s="155"/>
      <c r="G183" s="150" t="s">
        <v>54</v>
      </c>
      <c r="H183" s="154">
        <v>0</v>
      </c>
      <c r="I183" s="152"/>
    </row>
    <row r="184" spans="1:9" ht="17.100000000000001" customHeight="1" x14ac:dyDescent="0.2">
      <c r="A184" s="149"/>
      <c r="B184" s="306" t="s">
        <v>130</v>
      </c>
      <c r="C184" s="306"/>
      <c r="D184" s="154">
        <f>รายวัน!H42</f>
        <v>0</v>
      </c>
      <c r="E184" s="154"/>
      <c r="F184" s="155"/>
      <c r="G184" s="150" t="s">
        <v>100</v>
      </c>
      <c r="H184" s="154">
        <v>0</v>
      </c>
      <c r="I184" s="152"/>
    </row>
    <row r="185" spans="1:9" ht="17.100000000000001" customHeight="1" x14ac:dyDescent="0.2">
      <c r="A185" s="149"/>
      <c r="B185" s="306" t="s">
        <v>661</v>
      </c>
      <c r="C185" s="306"/>
      <c r="D185" s="154">
        <f>รายวัน!I42</f>
        <v>0</v>
      </c>
      <c r="E185" s="154"/>
      <c r="F185" s="155"/>
      <c r="G185" s="150" t="s">
        <v>55</v>
      </c>
      <c r="H185" s="156">
        <v>0</v>
      </c>
      <c r="I185" s="152"/>
    </row>
    <row r="186" spans="1:9" ht="17.100000000000001" customHeight="1" x14ac:dyDescent="0.2">
      <c r="A186" s="149"/>
      <c r="B186" s="306" t="s">
        <v>662</v>
      </c>
      <c r="C186" s="306"/>
      <c r="D186" s="154">
        <f>รายวัน!J42</f>
        <v>0</v>
      </c>
      <c r="E186" s="154"/>
      <c r="F186" s="155"/>
      <c r="G186" s="153" t="s">
        <v>377</v>
      </c>
      <c r="H186" s="156">
        <f>รายวัน!S42</f>
        <v>0</v>
      </c>
      <c r="I186" s="152"/>
    </row>
    <row r="187" spans="1:9" ht="17.100000000000001" customHeight="1" x14ac:dyDescent="0.2">
      <c r="A187" s="149"/>
      <c r="B187" s="306" t="s">
        <v>5</v>
      </c>
      <c r="C187" s="306"/>
      <c r="D187" s="154">
        <f>รายวัน!K47</f>
        <v>0</v>
      </c>
      <c r="E187" s="154"/>
      <c r="F187" s="155"/>
      <c r="G187" s="150" t="s">
        <v>56</v>
      </c>
      <c r="H187" s="156">
        <f>รายวัน!T42</f>
        <v>0</v>
      </c>
      <c r="I187" s="152"/>
    </row>
    <row r="188" spans="1:9" ht="17.100000000000001" customHeight="1" x14ac:dyDescent="0.2">
      <c r="A188" s="149"/>
      <c r="B188" s="150" t="s">
        <v>6</v>
      </c>
      <c r="C188" s="150"/>
      <c r="D188" s="154">
        <f>ข้าราชการ!C709</f>
        <v>0</v>
      </c>
      <c r="E188" s="154"/>
      <c r="F188" s="155"/>
      <c r="G188" s="150" t="s">
        <v>57</v>
      </c>
      <c r="H188" s="156">
        <f>รายวัน!U42</f>
        <v>0</v>
      </c>
      <c r="I188" s="152"/>
    </row>
    <row r="189" spans="1:9" ht="17.100000000000001" customHeight="1" x14ac:dyDescent="0.2">
      <c r="A189" s="149"/>
      <c r="B189" s="150" t="s">
        <v>7</v>
      </c>
      <c r="C189" s="150"/>
      <c r="D189" s="154">
        <v>0</v>
      </c>
      <c r="E189" s="154"/>
      <c r="F189" s="155"/>
      <c r="G189" s="150"/>
      <c r="H189" s="154"/>
      <c r="I189" s="152"/>
    </row>
    <row r="190" spans="1:9" ht="17.100000000000001" customHeight="1" x14ac:dyDescent="0.2">
      <c r="A190" s="149"/>
      <c r="B190" s="307" t="s">
        <v>101</v>
      </c>
      <c r="C190" s="307"/>
      <c r="D190" s="154">
        <f>SUM(D181:D189)</f>
        <v>0</v>
      </c>
      <c r="E190" s="154"/>
      <c r="F190" s="157"/>
      <c r="G190" s="147" t="s">
        <v>102</v>
      </c>
      <c r="H190" s="157">
        <f>SUM(H181:H189)</f>
        <v>0</v>
      </c>
      <c r="I190" s="152"/>
    </row>
    <row r="191" spans="1:9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</row>
    <row r="192" spans="1:9" ht="17.100000000000001" customHeight="1" x14ac:dyDescent="0.2">
      <c r="A192" s="149"/>
      <c r="C192" s="307" t="str">
        <f>"("&amp;BAHTTEXT(D191)&amp;")"</f>
        <v>(ศูนย์บาทถ้วน)</v>
      </c>
      <c r="D192" s="307"/>
      <c r="E192" s="307"/>
      <c r="F192" s="307"/>
      <c r="G192" s="307"/>
      <c r="I192" s="152"/>
    </row>
    <row r="193" spans="1:9" ht="17.100000000000001" customHeight="1" x14ac:dyDescent="0.2">
      <c r="A193" s="149"/>
      <c r="C193" s="147"/>
      <c r="D193" s="147"/>
      <c r="E193" s="147"/>
      <c r="F193" s="147"/>
      <c r="G193" s="147"/>
      <c r="I193" s="152"/>
    </row>
    <row r="194" spans="1:9" ht="17.100000000000001" customHeight="1" x14ac:dyDescent="0.2">
      <c r="A194" s="149"/>
      <c r="C194" s="147"/>
      <c r="D194" s="147"/>
      <c r="E194" s="147"/>
      <c r="F194" s="147"/>
      <c r="G194" s="147"/>
      <c r="I194" s="152"/>
    </row>
    <row r="195" spans="1:9" ht="17.100000000000001" customHeight="1" x14ac:dyDescent="0.2">
      <c r="A195" s="149"/>
      <c r="I195" s="152"/>
    </row>
    <row r="196" spans="1:9" ht="17.100000000000001" customHeight="1" x14ac:dyDescent="0.2">
      <c r="A196" s="149"/>
      <c r="I196" s="152"/>
    </row>
    <row r="197" spans="1:9" ht="17.100000000000001" customHeight="1" x14ac:dyDescent="0.2">
      <c r="A197" s="308" t="s">
        <v>315</v>
      </c>
      <c r="B197" s="307"/>
      <c r="C197" s="307"/>
      <c r="D197" s="307"/>
      <c r="E197" s="307"/>
      <c r="F197" s="307"/>
      <c r="G197" s="307"/>
      <c r="H197" s="307"/>
      <c r="I197" s="309"/>
    </row>
    <row r="198" spans="1:9" ht="17.100000000000001" customHeight="1" x14ac:dyDescent="0.2">
      <c r="A198" s="310" t="s">
        <v>298</v>
      </c>
      <c r="B198" s="311"/>
      <c r="C198" s="311"/>
      <c r="D198" s="311"/>
      <c r="E198" s="311"/>
      <c r="F198" s="311"/>
      <c r="G198" s="311"/>
      <c r="H198" s="311"/>
      <c r="I198" s="312"/>
    </row>
    <row r="199" spans="1:9" ht="17.100000000000001" customHeight="1" x14ac:dyDescent="0.2">
      <c r="A199" s="313" t="str">
        <f>รว!J243</f>
        <v>โรงพยาบาลสามโคก  ประจำเดือน  พฤศจิกายน  2568</v>
      </c>
      <c r="B199" s="314"/>
      <c r="C199" s="314"/>
      <c r="D199" s="314"/>
      <c r="E199" s="314"/>
      <c r="F199" s="314"/>
      <c r="G199" s="314"/>
      <c r="H199" s="314"/>
      <c r="I199" s="315"/>
    </row>
    <row r="200" spans="1:9" ht="17.100000000000001" customHeight="1" x14ac:dyDescent="0.2">
      <c r="A200" s="308" t="s">
        <v>582</v>
      </c>
      <c r="B200" s="307"/>
      <c r="C200" s="307"/>
      <c r="D200" s="307"/>
      <c r="E200" s="307"/>
      <c r="F200" s="307"/>
      <c r="G200" s="307"/>
      <c r="H200" s="307"/>
      <c r="I200" s="309"/>
    </row>
    <row r="201" spans="1:9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</row>
    <row r="202" spans="1:9" ht="17.100000000000001" customHeight="1" x14ac:dyDescent="0.2">
      <c r="A202" s="149"/>
      <c r="B202" s="307" t="s">
        <v>9</v>
      </c>
      <c r="C202" s="307"/>
      <c r="D202" s="307"/>
      <c r="E202" s="147"/>
      <c r="F202" s="147"/>
      <c r="G202" s="147" t="s">
        <v>10</v>
      </c>
      <c r="H202" s="147"/>
      <c r="I202" s="152"/>
    </row>
    <row r="203" spans="1:9" ht="17.100000000000001" customHeight="1" x14ac:dyDescent="0.2">
      <c r="A203" s="149"/>
      <c r="B203" s="150" t="s">
        <v>3</v>
      </c>
      <c r="C203" s="150"/>
      <c r="D203" s="154">
        <f>รายวัน!E43</f>
        <v>0</v>
      </c>
      <c r="E203" s="154"/>
      <c r="F203" s="155"/>
      <c r="G203" s="150" t="s">
        <v>99</v>
      </c>
      <c r="H203" s="154">
        <v>0</v>
      </c>
      <c r="I203" s="152"/>
    </row>
    <row r="204" spans="1:9" ht="17.100000000000001" customHeight="1" x14ac:dyDescent="0.2">
      <c r="A204" s="149"/>
      <c r="B204" s="150" t="s">
        <v>106</v>
      </c>
      <c r="C204" s="150"/>
      <c r="D204" s="154">
        <v>0</v>
      </c>
      <c r="E204" s="154"/>
      <c r="F204" s="155"/>
      <c r="G204" s="150" t="s">
        <v>116</v>
      </c>
      <c r="H204" s="154">
        <f>รายวัน!O43</f>
        <v>0</v>
      </c>
      <c r="I204" s="152"/>
    </row>
    <row r="205" spans="1:9" ht="17.100000000000001" customHeight="1" x14ac:dyDescent="0.2">
      <c r="A205" s="149"/>
      <c r="B205" s="306" t="s">
        <v>140</v>
      </c>
      <c r="C205" s="306"/>
      <c r="D205" s="154">
        <v>0</v>
      </c>
      <c r="E205" s="154"/>
      <c r="F205" s="155"/>
      <c r="G205" s="150" t="s">
        <v>54</v>
      </c>
      <c r="H205" s="154">
        <v>0</v>
      </c>
      <c r="I205" s="152"/>
    </row>
    <row r="206" spans="1:9" ht="17.100000000000001" customHeight="1" x14ac:dyDescent="0.2">
      <c r="A206" s="149"/>
      <c r="B206" s="306" t="s">
        <v>105</v>
      </c>
      <c r="C206" s="306"/>
      <c r="D206" s="154">
        <f>รายวัน!H43</f>
        <v>0</v>
      </c>
      <c r="E206" s="154"/>
      <c r="F206" s="155"/>
      <c r="G206" s="150" t="s">
        <v>100</v>
      </c>
      <c r="H206" s="154">
        <v>0</v>
      </c>
      <c r="I206" s="152"/>
    </row>
    <row r="207" spans="1:9" ht="17.100000000000001" customHeight="1" x14ac:dyDescent="0.2">
      <c r="A207" s="149"/>
      <c r="B207" s="306" t="s">
        <v>661</v>
      </c>
      <c r="C207" s="306"/>
      <c r="D207" s="154">
        <f>รายวัน!I43</f>
        <v>0</v>
      </c>
      <c r="E207" s="154"/>
      <c r="F207" s="155"/>
      <c r="G207" s="150" t="s">
        <v>55</v>
      </c>
      <c r="H207" s="156">
        <v>0</v>
      </c>
      <c r="I207" s="152"/>
    </row>
    <row r="208" spans="1:9" ht="17.100000000000001" customHeight="1" x14ac:dyDescent="0.2">
      <c r="A208" s="149"/>
      <c r="B208" s="306" t="s">
        <v>662</v>
      </c>
      <c r="C208" s="306"/>
      <c r="D208" s="154">
        <f>รายวัน!J43</f>
        <v>0</v>
      </c>
      <c r="E208" s="154"/>
      <c r="F208" s="155"/>
      <c r="G208" s="153" t="s">
        <v>377</v>
      </c>
      <c r="H208" s="156">
        <f>รายวัน!S43</f>
        <v>0</v>
      </c>
      <c r="I208" s="152"/>
    </row>
    <row r="209" spans="1:9" ht="17.100000000000001" customHeight="1" x14ac:dyDescent="0.2">
      <c r="A209" s="149"/>
      <c r="B209" s="306" t="s">
        <v>5</v>
      </c>
      <c r="C209" s="306"/>
      <c r="D209" s="154">
        <f>รายวัน!K91</f>
        <v>0</v>
      </c>
      <c r="E209" s="154"/>
      <c r="F209" s="155"/>
      <c r="G209" s="150" t="s">
        <v>56</v>
      </c>
      <c r="H209" s="156">
        <f>รายวัน!T43</f>
        <v>0</v>
      </c>
      <c r="I209" s="152"/>
    </row>
    <row r="210" spans="1:9" ht="17.100000000000001" customHeight="1" x14ac:dyDescent="0.2">
      <c r="A210" s="149"/>
      <c r="B210" s="150" t="s">
        <v>6</v>
      </c>
      <c r="C210" s="150"/>
      <c r="D210" s="154">
        <f>ข้าราชการ!C753</f>
        <v>0</v>
      </c>
      <c r="E210" s="154"/>
      <c r="F210" s="155"/>
      <c r="G210" s="150" t="s">
        <v>57</v>
      </c>
      <c r="H210" s="156">
        <f>รายวัน!U43</f>
        <v>0</v>
      </c>
      <c r="I210" s="152"/>
    </row>
    <row r="211" spans="1:9" ht="17.100000000000001" customHeight="1" x14ac:dyDescent="0.2">
      <c r="A211" s="149"/>
      <c r="B211" s="150" t="s">
        <v>7</v>
      </c>
      <c r="C211" s="150"/>
      <c r="D211" s="154">
        <v>0</v>
      </c>
      <c r="E211" s="154"/>
      <c r="F211" s="155"/>
      <c r="G211" s="150"/>
      <c r="H211" s="154"/>
      <c r="I211" s="152"/>
    </row>
    <row r="212" spans="1:9" ht="17.100000000000001" customHeight="1" x14ac:dyDescent="0.2">
      <c r="A212" s="149"/>
      <c r="B212" s="307" t="s">
        <v>101</v>
      </c>
      <c r="C212" s="307"/>
      <c r="D212" s="154">
        <f>SUM(D203:D211)</f>
        <v>0</v>
      </c>
      <c r="E212" s="154"/>
      <c r="F212" s="157"/>
      <c r="G212" s="147" t="s">
        <v>102</v>
      </c>
      <c r="H212" s="157">
        <f>SUM(H203:H211)</f>
        <v>0</v>
      </c>
      <c r="I212" s="152"/>
    </row>
    <row r="213" spans="1:9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</row>
    <row r="214" spans="1:9" ht="17.100000000000001" customHeight="1" x14ac:dyDescent="0.2">
      <c r="A214" s="149"/>
      <c r="C214" s="307" t="str">
        <f>"("&amp;BAHTTEXT(D213)&amp;")"</f>
        <v>(ศูนย์บาทถ้วน)</v>
      </c>
      <c r="D214" s="307"/>
      <c r="E214" s="307"/>
      <c r="F214" s="307"/>
      <c r="G214" s="307"/>
      <c r="I214" s="152"/>
    </row>
    <row r="215" spans="1:9" ht="17.100000000000001" customHeight="1" x14ac:dyDescent="0.2">
      <c r="A215" s="149"/>
      <c r="C215" s="147"/>
      <c r="D215" s="147"/>
      <c r="E215" s="147"/>
      <c r="F215" s="147"/>
      <c r="G215" s="147"/>
      <c r="I215" s="152"/>
    </row>
    <row r="216" spans="1:9" ht="17.100000000000001" customHeight="1" x14ac:dyDescent="0.2">
      <c r="A216" s="149"/>
      <c r="C216" s="147"/>
      <c r="D216" s="147"/>
      <c r="E216" s="147"/>
      <c r="F216" s="147"/>
      <c r="G216" s="147"/>
      <c r="I216" s="152"/>
    </row>
    <row r="217" spans="1:9" ht="17.100000000000001" customHeight="1" x14ac:dyDescent="0.2">
      <c r="A217" s="149"/>
      <c r="I217" s="152"/>
    </row>
    <row r="218" spans="1:9" ht="17.100000000000001" customHeight="1" x14ac:dyDescent="0.2">
      <c r="A218" s="149"/>
      <c r="I218" s="152"/>
    </row>
    <row r="219" spans="1:9" ht="17.100000000000001" customHeight="1" x14ac:dyDescent="0.2">
      <c r="A219" s="308" t="s">
        <v>315</v>
      </c>
      <c r="B219" s="307"/>
      <c r="C219" s="307"/>
      <c r="D219" s="307"/>
      <c r="E219" s="307"/>
      <c r="F219" s="307"/>
      <c r="G219" s="307"/>
      <c r="H219" s="307"/>
      <c r="I219" s="309"/>
    </row>
    <row r="220" spans="1:9" ht="17.100000000000001" customHeight="1" x14ac:dyDescent="0.2">
      <c r="A220" s="310" t="s">
        <v>298</v>
      </c>
      <c r="B220" s="311"/>
      <c r="C220" s="311"/>
      <c r="D220" s="311"/>
      <c r="E220" s="311"/>
      <c r="F220" s="311"/>
      <c r="G220" s="311"/>
      <c r="H220" s="311"/>
      <c r="I220" s="312"/>
    </row>
    <row r="221" spans="1:9" ht="17.100000000000001" customHeight="1" x14ac:dyDescent="0.2">
      <c r="A221" s="313" t="str">
        <f>A1</f>
        <v>โรงพยาบาลสามโคก  ประจำเดือน  พฤศจิกายน  2568</v>
      </c>
      <c r="B221" s="314"/>
      <c r="C221" s="314"/>
      <c r="D221" s="314"/>
      <c r="E221" s="314"/>
      <c r="F221" s="314"/>
      <c r="G221" s="314"/>
      <c r="H221" s="314"/>
      <c r="I221" s="315"/>
    </row>
    <row r="222" spans="1:9" ht="17.100000000000001" customHeight="1" x14ac:dyDescent="0.2">
      <c r="A222" s="308" t="s">
        <v>669</v>
      </c>
      <c r="B222" s="307"/>
      <c r="C222" s="307"/>
      <c r="D222" s="307"/>
      <c r="E222" s="307"/>
      <c r="F222" s="307"/>
      <c r="G222" s="307"/>
      <c r="H222" s="307"/>
      <c r="I222" s="309"/>
    </row>
    <row r="223" spans="1:9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</row>
    <row r="224" spans="1:9" ht="17.100000000000001" customHeight="1" x14ac:dyDescent="0.2">
      <c r="A224" s="149"/>
      <c r="B224" s="307" t="s">
        <v>9</v>
      </c>
      <c r="C224" s="307"/>
      <c r="D224" s="307"/>
      <c r="E224" s="147"/>
      <c r="F224" s="147"/>
      <c r="G224" s="147" t="s">
        <v>10</v>
      </c>
      <c r="H224" s="147"/>
      <c r="I224" s="152"/>
    </row>
    <row r="225" spans="1:9" ht="17.100000000000001" customHeight="1" x14ac:dyDescent="0.2">
      <c r="A225" s="149"/>
      <c r="B225" s="150" t="s">
        <v>3</v>
      </c>
      <c r="C225" s="150"/>
      <c r="D225" s="154">
        <f>รายวัน!E44</f>
        <v>0</v>
      </c>
      <c r="E225" s="154"/>
      <c r="F225" s="155"/>
      <c r="G225" s="150" t="s">
        <v>99</v>
      </c>
      <c r="H225" s="154">
        <v>0</v>
      </c>
      <c r="I225" s="152"/>
    </row>
    <row r="226" spans="1:9" ht="17.100000000000001" customHeight="1" x14ac:dyDescent="0.2">
      <c r="A226" s="149"/>
      <c r="B226" s="150" t="s">
        <v>106</v>
      </c>
      <c r="C226" s="150"/>
      <c r="D226" s="154">
        <v>0</v>
      </c>
      <c r="E226" s="154"/>
      <c r="F226" s="155"/>
      <c r="G226" s="150" t="s">
        <v>116</v>
      </c>
      <c r="H226" s="154">
        <f>รายวัน!O44</f>
        <v>0</v>
      </c>
      <c r="I226" s="152"/>
    </row>
    <row r="227" spans="1:9" ht="17.100000000000001" customHeight="1" x14ac:dyDescent="0.2">
      <c r="A227" s="149"/>
      <c r="B227" s="306" t="s">
        <v>140</v>
      </c>
      <c r="C227" s="306"/>
      <c r="D227" s="154">
        <v>0</v>
      </c>
      <c r="E227" s="154"/>
      <c r="F227" s="155"/>
      <c r="G227" s="150" t="s">
        <v>54</v>
      </c>
      <c r="H227" s="154">
        <v>0</v>
      </c>
      <c r="I227" s="152"/>
    </row>
    <row r="228" spans="1:9" ht="17.100000000000001" customHeight="1" x14ac:dyDescent="0.2">
      <c r="A228" s="149"/>
      <c r="B228" s="306" t="s">
        <v>130</v>
      </c>
      <c r="C228" s="306"/>
      <c r="D228" s="154">
        <v>0</v>
      </c>
      <c r="E228" s="154"/>
      <c r="F228" s="155"/>
      <c r="G228" s="150" t="s">
        <v>100</v>
      </c>
      <c r="H228" s="154">
        <v>0</v>
      </c>
      <c r="I228" s="152"/>
    </row>
    <row r="229" spans="1:9" ht="17.100000000000001" customHeight="1" x14ac:dyDescent="0.2">
      <c r="A229" s="149"/>
      <c r="B229" s="306" t="s">
        <v>661</v>
      </c>
      <c r="C229" s="306"/>
      <c r="D229" s="154">
        <f>รายวัน!I44</f>
        <v>0</v>
      </c>
      <c r="E229" s="154"/>
      <c r="F229" s="155"/>
      <c r="G229" s="150" t="s">
        <v>55</v>
      </c>
      <c r="H229" s="156">
        <v>0</v>
      </c>
      <c r="I229" s="152"/>
    </row>
    <row r="230" spans="1:9" ht="17.100000000000001" customHeight="1" x14ac:dyDescent="0.2">
      <c r="A230" s="149"/>
      <c r="B230" s="306" t="s">
        <v>662</v>
      </c>
      <c r="C230" s="306"/>
      <c r="D230" s="154">
        <f>รายวัน!J44</f>
        <v>0</v>
      </c>
      <c r="E230" s="154"/>
      <c r="F230" s="155"/>
      <c r="G230" s="153" t="s">
        <v>377</v>
      </c>
      <c r="H230" s="156">
        <f>รายวัน!S44</f>
        <v>0</v>
      </c>
      <c r="I230" s="152"/>
    </row>
    <row r="231" spans="1:9" ht="17.100000000000001" customHeight="1" x14ac:dyDescent="0.2">
      <c r="A231" s="149"/>
      <c r="B231" s="306" t="s">
        <v>5</v>
      </c>
      <c r="C231" s="306"/>
      <c r="D231" s="154">
        <f>รายวัน!K113</f>
        <v>0</v>
      </c>
      <c r="E231" s="154"/>
      <c r="F231" s="155"/>
      <c r="G231" s="150" t="s">
        <v>56</v>
      </c>
      <c r="H231" s="156">
        <f>รายวัน!T44</f>
        <v>0</v>
      </c>
      <c r="I231" s="152"/>
    </row>
    <row r="232" spans="1:9" ht="17.100000000000001" customHeight="1" x14ac:dyDescent="0.2">
      <c r="A232" s="149"/>
      <c r="B232" s="150" t="s">
        <v>6</v>
      </c>
      <c r="C232" s="150"/>
      <c r="D232" s="154">
        <f>ข้าราชการ!C775</f>
        <v>0</v>
      </c>
      <c r="E232" s="154"/>
      <c r="F232" s="155"/>
      <c r="G232" s="150" t="s">
        <v>57</v>
      </c>
      <c r="H232" s="156">
        <f>รายวัน!U44</f>
        <v>0</v>
      </c>
      <c r="I232" s="152"/>
    </row>
    <row r="233" spans="1:9" ht="17.100000000000001" customHeight="1" x14ac:dyDescent="0.2">
      <c r="A233" s="149"/>
      <c r="B233" s="150" t="s">
        <v>7</v>
      </c>
      <c r="C233" s="150"/>
      <c r="D233" s="154">
        <v>0</v>
      </c>
      <c r="E233" s="154"/>
      <c r="F233" s="155"/>
      <c r="G233" s="150"/>
      <c r="H233" s="154"/>
      <c r="I233" s="152"/>
    </row>
    <row r="234" spans="1:9" ht="17.100000000000001" customHeight="1" x14ac:dyDescent="0.2">
      <c r="A234" s="149"/>
      <c r="B234" s="307" t="s">
        <v>101</v>
      </c>
      <c r="C234" s="307"/>
      <c r="D234" s="154">
        <f>SUM(D225:D233)</f>
        <v>0</v>
      </c>
      <c r="E234" s="154"/>
      <c r="F234" s="157"/>
      <c r="G234" s="147" t="s">
        <v>102</v>
      </c>
      <c r="H234" s="157">
        <f>SUM(H225:H233)</f>
        <v>0</v>
      </c>
      <c r="I234" s="152"/>
    </row>
    <row r="235" spans="1:9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</row>
    <row r="236" spans="1:9" ht="17.100000000000001" customHeight="1" x14ac:dyDescent="0.2">
      <c r="A236" s="149"/>
      <c r="C236" s="307" t="str">
        <f>"("&amp;BAHTTEXT(D235)&amp;")"</f>
        <v>(ศูนย์บาทถ้วน)</v>
      </c>
      <c r="D236" s="307"/>
      <c r="E236" s="307"/>
      <c r="F236" s="307"/>
      <c r="G236" s="307"/>
      <c r="I236" s="152"/>
    </row>
    <row r="237" spans="1:9" ht="17.100000000000001" customHeight="1" x14ac:dyDescent="0.2">
      <c r="A237" s="149"/>
      <c r="C237" s="147"/>
      <c r="D237" s="147"/>
      <c r="E237" s="147"/>
      <c r="F237" s="147"/>
      <c r="G237" s="147"/>
      <c r="I237" s="152"/>
    </row>
    <row r="238" spans="1:9" ht="17.100000000000001" customHeight="1" x14ac:dyDescent="0.2">
      <c r="A238" s="149"/>
      <c r="C238" s="147"/>
      <c r="D238" s="147"/>
      <c r="E238" s="147"/>
      <c r="F238" s="147"/>
      <c r="G238" s="147"/>
      <c r="I238" s="152"/>
    </row>
    <row r="239" spans="1:9" ht="17.100000000000001" customHeight="1" x14ac:dyDescent="0.2">
      <c r="A239" s="149"/>
      <c r="I239" s="152"/>
    </row>
    <row r="240" spans="1:9" ht="17.100000000000001" customHeight="1" x14ac:dyDescent="0.2">
      <c r="A240" s="149"/>
      <c r="I240" s="152"/>
    </row>
    <row r="241" spans="1:9" ht="17.100000000000001" customHeight="1" x14ac:dyDescent="0.2">
      <c r="A241" s="308" t="s">
        <v>315</v>
      </c>
      <c r="B241" s="307"/>
      <c r="C241" s="307"/>
      <c r="D241" s="307"/>
      <c r="E241" s="307"/>
      <c r="F241" s="307"/>
      <c r="G241" s="307"/>
      <c r="H241" s="307"/>
      <c r="I241" s="309"/>
    </row>
    <row r="242" spans="1:9" ht="17.100000000000001" customHeight="1" x14ac:dyDescent="0.2">
      <c r="A242" s="310" t="s">
        <v>298</v>
      </c>
      <c r="B242" s="311"/>
      <c r="C242" s="311"/>
      <c r="D242" s="311"/>
      <c r="E242" s="311"/>
      <c r="F242" s="311"/>
      <c r="G242" s="311"/>
      <c r="H242" s="311"/>
      <c r="I242" s="312"/>
    </row>
    <row r="243" spans="1:9" ht="17.100000000000001" customHeight="1" x14ac:dyDescent="0.2">
      <c r="A243" s="313" t="str">
        <f>A23</f>
        <v>โรงพยาบาลสามโคก  ประจำเดือน  พฤศจิกายน  2568</v>
      </c>
      <c r="B243" s="314"/>
      <c r="C243" s="314"/>
      <c r="D243" s="314"/>
      <c r="E243" s="314"/>
      <c r="F243" s="314"/>
      <c r="G243" s="314"/>
      <c r="H243" s="314"/>
      <c r="I243" s="315"/>
    </row>
    <row r="244" spans="1:9" ht="17.100000000000001" customHeight="1" x14ac:dyDescent="0.2">
      <c r="A244" s="308" t="s">
        <v>583</v>
      </c>
      <c r="B244" s="307"/>
      <c r="C244" s="307"/>
      <c r="D244" s="307"/>
      <c r="E244" s="307"/>
      <c r="F244" s="307"/>
      <c r="G244" s="307"/>
      <c r="H244" s="307"/>
      <c r="I244" s="309"/>
    </row>
    <row r="245" spans="1:9" ht="17.100000000000001" customHeight="1" x14ac:dyDescent="0.2">
      <c r="A245" s="149"/>
      <c r="B245" s="153"/>
      <c r="C245" s="150"/>
      <c r="D245" s="147"/>
      <c r="E245" s="147"/>
      <c r="F245" s="147"/>
      <c r="G245" s="150"/>
      <c r="H245" s="150"/>
      <c r="I245" s="152"/>
    </row>
    <row r="246" spans="1:9" ht="17.100000000000001" customHeight="1" x14ac:dyDescent="0.2">
      <c r="A246" s="149"/>
      <c r="B246" s="307" t="s">
        <v>9</v>
      </c>
      <c r="C246" s="307"/>
      <c r="D246" s="307"/>
      <c r="E246" s="147"/>
      <c r="F246" s="147"/>
      <c r="G246" s="147" t="s">
        <v>10</v>
      </c>
      <c r="H246" s="147"/>
      <c r="I246" s="152"/>
    </row>
    <row r="247" spans="1:9" ht="17.100000000000001" customHeight="1" x14ac:dyDescent="0.2">
      <c r="A247" s="149"/>
      <c r="B247" s="150" t="s">
        <v>3</v>
      </c>
      <c r="C247" s="150"/>
      <c r="D247" s="154">
        <f>รายวัน!E47</f>
        <v>0</v>
      </c>
      <c r="E247" s="154"/>
      <c r="F247" s="155"/>
      <c r="G247" s="150" t="s">
        <v>99</v>
      </c>
      <c r="H247" s="154">
        <v>0</v>
      </c>
      <c r="I247" s="152"/>
    </row>
    <row r="248" spans="1:9" ht="17.100000000000001" customHeight="1" x14ac:dyDescent="0.2">
      <c r="A248" s="149"/>
      <c r="B248" s="150" t="s">
        <v>106</v>
      </c>
      <c r="C248" s="150"/>
      <c r="D248" s="154">
        <v>0</v>
      </c>
      <c r="E248" s="154"/>
      <c r="F248" s="155"/>
      <c r="G248" s="150" t="s">
        <v>116</v>
      </c>
      <c r="H248" s="154">
        <f>รายวัน!O47</f>
        <v>0</v>
      </c>
      <c r="I248" s="152"/>
    </row>
    <row r="249" spans="1:9" ht="17.100000000000001" customHeight="1" x14ac:dyDescent="0.2">
      <c r="A249" s="149"/>
      <c r="B249" s="306" t="s">
        <v>140</v>
      </c>
      <c r="C249" s="306"/>
      <c r="D249" s="154">
        <v>0</v>
      </c>
      <c r="E249" s="154"/>
      <c r="F249" s="155"/>
      <c r="G249" s="150" t="s">
        <v>54</v>
      </c>
      <c r="H249" s="154">
        <v>0</v>
      </c>
      <c r="I249" s="152"/>
    </row>
    <row r="250" spans="1:9" ht="17.100000000000001" customHeight="1" x14ac:dyDescent="0.2">
      <c r="A250" s="149"/>
      <c r="B250" s="306" t="s">
        <v>130</v>
      </c>
      <c r="C250" s="306"/>
      <c r="D250" s="154">
        <f>รายวัน!H47</f>
        <v>0</v>
      </c>
      <c r="E250" s="154"/>
      <c r="F250" s="155"/>
      <c r="G250" s="150" t="s">
        <v>100</v>
      </c>
      <c r="H250" s="154">
        <v>0</v>
      </c>
      <c r="I250" s="152"/>
    </row>
    <row r="251" spans="1:9" ht="17.100000000000001" customHeight="1" x14ac:dyDescent="0.2">
      <c r="A251" s="149"/>
      <c r="B251" s="306" t="s">
        <v>661</v>
      </c>
      <c r="C251" s="306"/>
      <c r="D251" s="154">
        <f>รายวัน!I47</f>
        <v>0</v>
      </c>
      <c r="E251" s="154"/>
      <c r="F251" s="155"/>
      <c r="G251" s="150" t="s">
        <v>55</v>
      </c>
      <c r="H251" s="156">
        <v>0</v>
      </c>
      <c r="I251" s="152"/>
    </row>
    <row r="252" spans="1:9" ht="17.100000000000001" customHeight="1" x14ac:dyDescent="0.2">
      <c r="A252" s="149"/>
      <c r="B252" s="306" t="s">
        <v>662</v>
      </c>
      <c r="C252" s="306"/>
      <c r="D252" s="154">
        <f>รายวัน!J47</f>
        <v>0</v>
      </c>
      <c r="E252" s="154"/>
      <c r="F252" s="155"/>
      <c r="G252" s="153" t="s">
        <v>137</v>
      </c>
      <c r="H252" s="156">
        <f>ข้าราชการ!J797</f>
        <v>0</v>
      </c>
      <c r="I252" s="152"/>
    </row>
    <row r="253" spans="1:9" ht="17.100000000000001" customHeight="1" x14ac:dyDescent="0.2">
      <c r="A253" s="149"/>
      <c r="B253" s="306" t="s">
        <v>5</v>
      </c>
      <c r="C253" s="306"/>
      <c r="D253" s="154">
        <f>รายวัน!K135</f>
        <v>0</v>
      </c>
      <c r="E253" s="154"/>
      <c r="F253" s="155"/>
      <c r="G253" s="150" t="s">
        <v>56</v>
      </c>
      <c r="H253" s="156">
        <f>รายวัน!T135</f>
        <v>0</v>
      </c>
      <c r="I253" s="152"/>
    </row>
    <row r="254" spans="1:9" ht="17.100000000000001" customHeight="1" x14ac:dyDescent="0.2">
      <c r="A254" s="149"/>
      <c r="B254" s="150" t="s">
        <v>6</v>
      </c>
      <c r="C254" s="150"/>
      <c r="D254" s="154">
        <f>ข้าราชการ!C797</f>
        <v>0</v>
      </c>
      <c r="E254" s="154"/>
      <c r="F254" s="155"/>
      <c r="G254" s="150" t="s">
        <v>57</v>
      </c>
      <c r="H254" s="156">
        <f>รายวัน!U135</f>
        <v>0</v>
      </c>
      <c r="I254" s="152"/>
    </row>
    <row r="255" spans="1:9" ht="17.100000000000001" customHeight="1" x14ac:dyDescent="0.2">
      <c r="A255" s="149"/>
      <c r="B255" s="150" t="s">
        <v>7</v>
      </c>
      <c r="C255" s="150"/>
      <c r="D255" s="154">
        <v>0</v>
      </c>
      <c r="E255" s="154"/>
      <c r="F255" s="155"/>
      <c r="G255" s="150"/>
      <c r="H255" s="154"/>
      <c r="I255" s="152"/>
    </row>
    <row r="256" spans="1:9" ht="17.100000000000001" customHeight="1" x14ac:dyDescent="0.2">
      <c r="A256" s="149"/>
      <c r="B256" s="307" t="s">
        <v>101</v>
      </c>
      <c r="C256" s="307"/>
      <c r="D256" s="154">
        <f>SUM(D247:D255)</f>
        <v>0</v>
      </c>
      <c r="E256" s="154"/>
      <c r="F256" s="157"/>
      <c r="G256" s="147" t="s">
        <v>102</v>
      </c>
      <c r="H256" s="157">
        <f>SUM(H247:H255)</f>
        <v>0</v>
      </c>
      <c r="I256" s="152"/>
    </row>
    <row r="257" spans="1:9" ht="17.100000000000001" customHeight="1" x14ac:dyDescent="0.2">
      <c r="A257" s="149"/>
      <c r="B257" s="150"/>
      <c r="C257" s="147" t="s">
        <v>103</v>
      </c>
      <c r="D257" s="157">
        <f>D256-H256</f>
        <v>0</v>
      </c>
      <c r="E257" s="157"/>
      <c r="F257" s="158" t="s">
        <v>104</v>
      </c>
      <c r="H257" s="150"/>
      <c r="I257" s="152"/>
    </row>
    <row r="258" spans="1:9" ht="17.100000000000001" customHeight="1" x14ac:dyDescent="0.2">
      <c r="A258" s="149"/>
      <c r="C258" s="307" t="str">
        <f>"("&amp;BAHTTEXT(D257)&amp;")"</f>
        <v>(ศูนย์บาทถ้วน)</v>
      </c>
      <c r="D258" s="307"/>
      <c r="E258" s="307"/>
      <c r="F258" s="307"/>
      <c r="G258" s="307"/>
      <c r="I258" s="152"/>
    </row>
    <row r="259" spans="1:9" ht="17.100000000000001" customHeight="1" x14ac:dyDescent="0.2">
      <c r="A259" s="149"/>
      <c r="C259" s="147"/>
      <c r="D259" s="147"/>
      <c r="E259" s="147"/>
      <c r="F259" s="147"/>
      <c r="G259" s="147"/>
      <c r="I259" s="152"/>
    </row>
    <row r="260" spans="1:9" ht="17.100000000000001" customHeight="1" x14ac:dyDescent="0.2">
      <c r="A260" s="149"/>
      <c r="C260" s="147"/>
      <c r="D260" s="147"/>
      <c r="E260" s="147"/>
      <c r="F260" s="147"/>
      <c r="G260" s="147"/>
      <c r="I260" s="152"/>
    </row>
    <row r="261" spans="1:9" ht="17.100000000000001" customHeight="1" x14ac:dyDescent="0.2">
      <c r="A261" s="149"/>
      <c r="I261" s="152"/>
    </row>
    <row r="262" spans="1:9" ht="17.100000000000001" customHeight="1" x14ac:dyDescent="0.2">
      <c r="A262" s="149"/>
      <c r="I262" s="152"/>
    </row>
    <row r="263" spans="1:9" ht="17.100000000000001" customHeight="1" x14ac:dyDescent="0.2">
      <c r="A263" s="308" t="s">
        <v>315</v>
      </c>
      <c r="B263" s="307"/>
      <c r="C263" s="307"/>
      <c r="D263" s="307"/>
      <c r="E263" s="307"/>
      <c r="F263" s="307"/>
      <c r="G263" s="307"/>
      <c r="H263" s="307"/>
      <c r="I263" s="309"/>
    </row>
    <row r="264" spans="1:9" ht="17.100000000000001" customHeight="1" x14ac:dyDescent="0.2">
      <c r="A264" s="310" t="s">
        <v>298</v>
      </c>
      <c r="B264" s="311"/>
      <c r="C264" s="311"/>
      <c r="D264" s="311"/>
      <c r="E264" s="311"/>
      <c r="F264" s="311"/>
      <c r="G264" s="311"/>
      <c r="H264" s="311"/>
      <c r="I264" s="312"/>
    </row>
    <row r="265" spans="1:9" ht="17.100000000000001" customHeight="1" x14ac:dyDescent="0.2">
      <c r="A265" s="313" t="str">
        <f>รว!J221</f>
        <v>โรงพยาบาลสามโคก  ประจำเดือน  พฤศจิกายน  2568</v>
      </c>
      <c r="B265" s="314"/>
      <c r="C265" s="314"/>
      <c r="D265" s="314"/>
      <c r="E265" s="314"/>
      <c r="F265" s="314"/>
      <c r="G265" s="314"/>
      <c r="H265" s="314"/>
      <c r="I265" s="315"/>
    </row>
    <row r="266" spans="1:9" ht="17.100000000000001" customHeight="1" x14ac:dyDescent="0.2">
      <c r="A266" s="308" t="s">
        <v>595</v>
      </c>
      <c r="B266" s="307"/>
      <c r="C266" s="307"/>
      <c r="D266" s="307"/>
      <c r="E266" s="307"/>
      <c r="F266" s="307"/>
      <c r="G266" s="307"/>
      <c r="H266" s="307"/>
      <c r="I266" s="309"/>
    </row>
    <row r="267" spans="1:9" ht="17.100000000000001" customHeight="1" x14ac:dyDescent="0.2">
      <c r="A267" s="149"/>
      <c r="B267" s="153"/>
      <c r="C267" s="150"/>
      <c r="D267" s="147"/>
      <c r="E267" s="147"/>
      <c r="F267" s="147"/>
      <c r="G267" s="150"/>
      <c r="H267" s="150"/>
      <c r="I267" s="152"/>
    </row>
    <row r="268" spans="1:9" ht="17.100000000000001" customHeight="1" x14ac:dyDescent="0.2">
      <c r="A268" s="149"/>
      <c r="B268" s="307" t="s">
        <v>9</v>
      </c>
      <c r="C268" s="307"/>
      <c r="D268" s="307"/>
      <c r="E268" s="147"/>
      <c r="F268" s="147"/>
      <c r="G268" s="147" t="s">
        <v>10</v>
      </c>
      <c r="H268" s="147"/>
      <c r="I268" s="152"/>
    </row>
    <row r="269" spans="1:9" ht="17.100000000000001" customHeight="1" x14ac:dyDescent="0.2">
      <c r="A269" s="149"/>
      <c r="B269" s="150" t="s">
        <v>3</v>
      </c>
      <c r="C269" s="150"/>
      <c r="D269" s="154">
        <f>รายวัน!E48</f>
        <v>0</v>
      </c>
      <c r="E269" s="154"/>
      <c r="F269" s="155"/>
      <c r="G269" s="150" t="s">
        <v>99</v>
      </c>
      <c r="H269" s="154">
        <v>0</v>
      </c>
      <c r="I269" s="152"/>
    </row>
    <row r="270" spans="1:9" ht="17.100000000000001" customHeight="1" x14ac:dyDescent="0.2">
      <c r="A270" s="149"/>
      <c r="B270" s="150" t="s">
        <v>106</v>
      </c>
      <c r="C270" s="150"/>
      <c r="D270" s="154">
        <v>0</v>
      </c>
      <c r="E270" s="154"/>
      <c r="F270" s="155"/>
      <c r="G270" s="150" t="s">
        <v>116</v>
      </c>
      <c r="H270" s="154">
        <f>รายวัน!O48</f>
        <v>0</v>
      </c>
      <c r="I270" s="152"/>
    </row>
    <row r="271" spans="1:9" ht="17.100000000000001" customHeight="1" x14ac:dyDescent="0.2">
      <c r="A271" s="149"/>
      <c r="B271" s="306" t="s">
        <v>140</v>
      </c>
      <c r="C271" s="306"/>
      <c r="D271" s="154">
        <v>0</v>
      </c>
      <c r="E271" s="154"/>
      <c r="F271" s="155"/>
      <c r="G271" s="150" t="s">
        <v>54</v>
      </c>
      <c r="H271" s="154">
        <v>0</v>
      </c>
      <c r="I271" s="152"/>
    </row>
    <row r="272" spans="1:9" ht="17.100000000000001" customHeight="1" x14ac:dyDescent="0.2">
      <c r="A272" s="149"/>
      <c r="B272" s="306" t="s">
        <v>105</v>
      </c>
      <c r="C272" s="306"/>
      <c r="D272" s="154">
        <f>รายวัน!H157</f>
        <v>0</v>
      </c>
      <c r="E272" s="154"/>
      <c r="F272" s="155"/>
      <c r="G272" s="150" t="s">
        <v>100</v>
      </c>
      <c r="H272" s="154">
        <v>0</v>
      </c>
      <c r="I272" s="152"/>
    </row>
    <row r="273" spans="1:9" ht="17.100000000000001" customHeight="1" x14ac:dyDescent="0.2">
      <c r="A273" s="149"/>
      <c r="B273" s="306" t="s">
        <v>291</v>
      </c>
      <c r="C273" s="306"/>
      <c r="D273" s="154">
        <f>รายวัน!I48</f>
        <v>0</v>
      </c>
      <c r="E273" s="154"/>
      <c r="F273" s="155"/>
      <c r="G273" s="150" t="s">
        <v>55</v>
      </c>
      <c r="H273" s="156">
        <v>0</v>
      </c>
      <c r="I273" s="152"/>
    </row>
    <row r="274" spans="1:9" ht="17.100000000000001" customHeight="1" x14ac:dyDescent="0.2">
      <c r="A274" s="149"/>
      <c r="B274" s="306" t="s">
        <v>120</v>
      </c>
      <c r="C274" s="306"/>
      <c r="D274" s="154">
        <f>รายวัน!J48</f>
        <v>0</v>
      </c>
      <c r="E274" s="154"/>
      <c r="F274" s="155"/>
      <c r="G274" s="153" t="s">
        <v>377</v>
      </c>
      <c r="H274" s="156">
        <f>รายวัน!S48</f>
        <v>0</v>
      </c>
      <c r="I274" s="152"/>
    </row>
    <row r="275" spans="1:9" ht="17.100000000000001" customHeight="1" x14ac:dyDescent="0.2">
      <c r="A275" s="149"/>
      <c r="B275" s="306" t="s">
        <v>5</v>
      </c>
      <c r="C275" s="306"/>
      <c r="D275" s="154">
        <f>รายวัน!K157</f>
        <v>0</v>
      </c>
      <c r="E275" s="154"/>
      <c r="F275" s="155"/>
      <c r="G275" s="150" t="s">
        <v>56</v>
      </c>
      <c r="H275" s="156">
        <f>รายวัน!T48</f>
        <v>0</v>
      </c>
      <c r="I275" s="152"/>
    </row>
    <row r="276" spans="1:9" ht="17.100000000000001" customHeight="1" x14ac:dyDescent="0.2">
      <c r="A276" s="149"/>
      <c r="B276" s="150" t="s">
        <v>6</v>
      </c>
      <c r="C276" s="150"/>
      <c r="D276" s="154">
        <f>ข้าราชการ!C819</f>
        <v>0</v>
      </c>
      <c r="E276" s="154"/>
      <c r="F276" s="155"/>
      <c r="G276" s="150" t="s">
        <v>57</v>
      </c>
      <c r="H276" s="156">
        <f>รายวัน!U48</f>
        <v>0</v>
      </c>
      <c r="I276" s="152"/>
    </row>
    <row r="277" spans="1:9" ht="17.100000000000001" customHeight="1" x14ac:dyDescent="0.2">
      <c r="A277" s="149"/>
      <c r="B277" s="150" t="s">
        <v>7</v>
      </c>
      <c r="C277" s="150"/>
      <c r="D277" s="154">
        <v>0</v>
      </c>
      <c r="E277" s="154"/>
      <c r="F277" s="155"/>
      <c r="G277" s="150"/>
      <c r="H277" s="154"/>
      <c r="I277" s="152"/>
    </row>
    <row r="278" spans="1:9" ht="17.100000000000001" customHeight="1" x14ac:dyDescent="0.2">
      <c r="A278" s="149"/>
      <c r="B278" s="307" t="s">
        <v>101</v>
      </c>
      <c r="C278" s="307"/>
      <c r="D278" s="154">
        <f>SUM(D269:D277)</f>
        <v>0</v>
      </c>
      <c r="E278" s="154"/>
      <c r="F278" s="157"/>
      <c r="G278" s="147" t="s">
        <v>102</v>
      </c>
      <c r="H278" s="157">
        <f>SUM(H269:H277)</f>
        <v>0</v>
      </c>
      <c r="I278" s="152"/>
    </row>
    <row r="279" spans="1:9" ht="17.100000000000001" customHeight="1" x14ac:dyDescent="0.2">
      <c r="A279" s="149"/>
      <c r="B279" s="150"/>
      <c r="C279" s="147" t="s">
        <v>103</v>
      </c>
      <c r="D279" s="157">
        <f>D278-H278</f>
        <v>0</v>
      </c>
      <c r="E279" s="157"/>
      <c r="F279" s="158" t="s">
        <v>104</v>
      </c>
      <c r="H279" s="150"/>
      <c r="I279" s="152"/>
    </row>
    <row r="280" spans="1:9" ht="17.100000000000001" customHeight="1" x14ac:dyDescent="0.2">
      <c r="A280" s="149"/>
      <c r="C280" s="307" t="str">
        <f>"("&amp;BAHTTEXT(D279)&amp;")"</f>
        <v>(ศูนย์บาทถ้วน)</v>
      </c>
      <c r="D280" s="307"/>
      <c r="E280" s="307"/>
      <c r="F280" s="307"/>
      <c r="G280" s="307"/>
      <c r="I280" s="152"/>
    </row>
    <row r="281" spans="1:9" ht="17.100000000000001" customHeight="1" x14ac:dyDescent="0.2">
      <c r="A281" s="149"/>
      <c r="C281" s="147"/>
      <c r="D281" s="147"/>
      <c r="E281" s="147"/>
      <c r="F281" s="147"/>
      <c r="G281" s="147"/>
      <c r="I281" s="152"/>
    </row>
    <row r="282" spans="1:9" ht="17.100000000000001" customHeight="1" x14ac:dyDescent="0.2">
      <c r="A282" s="149"/>
      <c r="C282" s="147"/>
      <c r="D282" s="147"/>
      <c r="E282" s="147"/>
      <c r="F282" s="147"/>
      <c r="G282" s="147"/>
      <c r="I282" s="152"/>
    </row>
    <row r="283" spans="1:9" ht="17.100000000000001" customHeight="1" x14ac:dyDescent="0.2">
      <c r="A283" s="149"/>
      <c r="I283" s="152"/>
    </row>
    <row r="284" spans="1:9" ht="17.100000000000001" customHeight="1" x14ac:dyDescent="0.2">
      <c r="A284" s="149"/>
      <c r="I284" s="152"/>
    </row>
    <row r="285" spans="1:9" ht="17.100000000000001" customHeight="1" x14ac:dyDescent="0.2">
      <c r="A285" s="308" t="s">
        <v>315</v>
      </c>
      <c r="B285" s="307"/>
      <c r="C285" s="307"/>
      <c r="D285" s="307"/>
      <c r="E285" s="307"/>
      <c r="F285" s="307"/>
      <c r="G285" s="307"/>
      <c r="H285" s="307"/>
      <c r="I285" s="309"/>
    </row>
    <row r="286" spans="1:9" ht="17.100000000000001" customHeight="1" x14ac:dyDescent="0.2">
      <c r="A286" s="310" t="s">
        <v>298</v>
      </c>
      <c r="B286" s="311"/>
      <c r="C286" s="311"/>
      <c r="D286" s="311"/>
      <c r="E286" s="311"/>
      <c r="F286" s="311"/>
      <c r="G286" s="311"/>
      <c r="H286" s="311"/>
      <c r="I286" s="312"/>
    </row>
    <row r="287" spans="1:9" ht="17.100000000000001" customHeight="1" x14ac:dyDescent="0.2">
      <c r="A287" s="313" t="str">
        <f>A45</f>
        <v>โรงพยาบาลสามโคก  ประจำเดือน  พฤศจิกายน  2568</v>
      </c>
      <c r="B287" s="314"/>
      <c r="C287" s="314"/>
      <c r="D287" s="314"/>
      <c r="E287" s="314"/>
      <c r="F287" s="314"/>
      <c r="G287" s="314"/>
      <c r="H287" s="314"/>
      <c r="I287" s="315"/>
    </row>
    <row r="288" spans="1:9" ht="17.100000000000001" customHeight="1" x14ac:dyDescent="0.2">
      <c r="A288" s="308" t="s">
        <v>606</v>
      </c>
      <c r="B288" s="307"/>
      <c r="C288" s="307"/>
      <c r="D288" s="307"/>
      <c r="E288" s="307"/>
      <c r="F288" s="307"/>
      <c r="G288" s="307"/>
      <c r="H288" s="307"/>
      <c r="I288" s="309"/>
    </row>
    <row r="289" spans="1:9" ht="17.100000000000001" customHeight="1" x14ac:dyDescent="0.2">
      <c r="A289" s="149"/>
      <c r="B289" s="153"/>
      <c r="C289" s="150"/>
      <c r="D289" s="147"/>
      <c r="E289" s="147"/>
      <c r="F289" s="147"/>
      <c r="G289" s="150"/>
      <c r="H289" s="150"/>
      <c r="I289" s="152"/>
    </row>
    <row r="290" spans="1:9" ht="17.100000000000001" customHeight="1" x14ac:dyDescent="0.2">
      <c r="A290" s="149"/>
      <c r="B290" s="307" t="s">
        <v>9</v>
      </c>
      <c r="C290" s="307"/>
      <c r="D290" s="307"/>
      <c r="E290" s="147"/>
      <c r="F290" s="147"/>
      <c r="G290" s="147" t="s">
        <v>10</v>
      </c>
      <c r="H290" s="147"/>
      <c r="I290" s="152"/>
    </row>
    <row r="291" spans="1:9" ht="17.100000000000001" customHeight="1" x14ac:dyDescent="0.2">
      <c r="A291" s="149"/>
      <c r="B291" s="150" t="s">
        <v>3</v>
      </c>
      <c r="C291" s="150"/>
      <c r="D291" s="154">
        <f>รายวัน!E49</f>
        <v>0</v>
      </c>
      <c r="E291" s="154"/>
      <c r="F291" s="155"/>
      <c r="G291" s="150" t="s">
        <v>99</v>
      </c>
      <c r="H291" s="154">
        <v>0</v>
      </c>
      <c r="I291" s="152"/>
    </row>
    <row r="292" spans="1:9" ht="17.100000000000001" customHeight="1" x14ac:dyDescent="0.2">
      <c r="A292" s="149"/>
      <c r="B292" s="150" t="s">
        <v>106</v>
      </c>
      <c r="C292" s="150"/>
      <c r="D292" s="154">
        <v>0</v>
      </c>
      <c r="E292" s="154"/>
      <c r="F292" s="155"/>
      <c r="G292" s="150" t="s">
        <v>116</v>
      </c>
      <c r="H292" s="154">
        <f>รายวัน!O49</f>
        <v>0</v>
      </c>
      <c r="I292" s="152"/>
    </row>
    <row r="293" spans="1:9" ht="17.100000000000001" customHeight="1" x14ac:dyDescent="0.2">
      <c r="A293" s="149"/>
      <c r="B293" s="306" t="s">
        <v>140</v>
      </c>
      <c r="C293" s="306"/>
      <c r="D293" s="154">
        <v>0</v>
      </c>
      <c r="E293" s="154"/>
      <c r="F293" s="155"/>
      <c r="G293" s="150" t="s">
        <v>54</v>
      </c>
      <c r="H293" s="154">
        <v>0</v>
      </c>
      <c r="I293" s="152"/>
    </row>
    <row r="294" spans="1:9" ht="17.100000000000001" customHeight="1" x14ac:dyDescent="0.2">
      <c r="A294" s="149"/>
      <c r="B294" s="306" t="s">
        <v>668</v>
      </c>
      <c r="C294" s="306"/>
      <c r="D294" s="154">
        <f>รายวัน!H49</f>
        <v>0</v>
      </c>
      <c r="E294" s="154"/>
      <c r="F294" s="155"/>
      <c r="G294" s="150" t="s">
        <v>100</v>
      </c>
      <c r="H294" s="154">
        <v>0</v>
      </c>
      <c r="I294" s="152"/>
    </row>
    <row r="295" spans="1:9" ht="17.100000000000001" customHeight="1" x14ac:dyDescent="0.2">
      <c r="A295" s="149"/>
      <c r="B295" s="306" t="s">
        <v>558</v>
      </c>
      <c r="C295" s="306"/>
      <c r="D295" s="154">
        <f>รายวัน!I49</f>
        <v>0</v>
      </c>
      <c r="E295" s="154"/>
      <c r="F295" s="155"/>
      <c r="G295" s="153" t="s">
        <v>377</v>
      </c>
      <c r="H295" s="156">
        <f>รายวัน!S49</f>
        <v>0</v>
      </c>
      <c r="I295" s="152"/>
    </row>
    <row r="296" spans="1:9" ht="17.100000000000001" customHeight="1" x14ac:dyDescent="0.2">
      <c r="A296" s="149"/>
      <c r="B296" s="306" t="s">
        <v>662</v>
      </c>
      <c r="C296" s="306"/>
      <c r="D296" s="154">
        <f>รายวัน!J49</f>
        <v>0</v>
      </c>
      <c r="E296" s="154"/>
      <c r="F296" s="155"/>
      <c r="G296" s="153" t="s">
        <v>137</v>
      </c>
      <c r="H296" s="156">
        <f>ข้าราชการ!J841</f>
        <v>0</v>
      </c>
      <c r="I296" s="152"/>
    </row>
    <row r="297" spans="1:9" ht="17.100000000000001" customHeight="1" x14ac:dyDescent="0.2">
      <c r="A297" s="149"/>
      <c r="B297" s="306" t="s">
        <v>5</v>
      </c>
      <c r="C297" s="306"/>
      <c r="D297" s="154">
        <f>รายวัน!K179</f>
        <v>0</v>
      </c>
      <c r="E297" s="154"/>
      <c r="F297" s="155"/>
      <c r="G297" s="150" t="s">
        <v>56</v>
      </c>
      <c r="H297" s="156">
        <f>รายวัน!T49</f>
        <v>0</v>
      </c>
      <c r="I297" s="152"/>
    </row>
    <row r="298" spans="1:9" ht="17.100000000000001" customHeight="1" x14ac:dyDescent="0.2">
      <c r="A298" s="149"/>
      <c r="B298" s="150" t="s">
        <v>6</v>
      </c>
      <c r="C298" s="150"/>
      <c r="D298" s="154">
        <f>ข้าราชการ!C841</f>
        <v>0</v>
      </c>
      <c r="E298" s="154"/>
      <c r="F298" s="155"/>
      <c r="G298" s="150" t="s">
        <v>57</v>
      </c>
      <c r="H298" s="156">
        <f>รายวัน!U49</f>
        <v>0</v>
      </c>
      <c r="I298" s="152"/>
    </row>
    <row r="299" spans="1:9" ht="17.100000000000001" customHeight="1" x14ac:dyDescent="0.2">
      <c r="A299" s="149"/>
      <c r="B299" s="150" t="s">
        <v>7</v>
      </c>
      <c r="C299" s="150"/>
      <c r="D299" s="154">
        <v>0</v>
      </c>
      <c r="E299" s="154"/>
      <c r="F299" s="155"/>
      <c r="G299" s="150"/>
      <c r="H299" s="154"/>
      <c r="I299" s="152"/>
    </row>
    <row r="300" spans="1:9" ht="17.100000000000001" customHeight="1" x14ac:dyDescent="0.2">
      <c r="A300" s="149"/>
      <c r="B300" s="307" t="s">
        <v>101</v>
      </c>
      <c r="C300" s="307"/>
      <c r="D300" s="154">
        <f>SUM(D291:D299)</f>
        <v>0</v>
      </c>
      <c r="E300" s="154"/>
      <c r="F300" s="157"/>
      <c r="G300" s="147" t="s">
        <v>102</v>
      </c>
      <c r="H300" s="157">
        <f>SUM(H291:H299)</f>
        <v>0</v>
      </c>
      <c r="I300" s="152"/>
    </row>
    <row r="301" spans="1:9" ht="17.100000000000001" customHeight="1" x14ac:dyDescent="0.2">
      <c r="A301" s="149"/>
      <c r="B301" s="150"/>
      <c r="C301" s="147" t="s">
        <v>103</v>
      </c>
      <c r="D301" s="157">
        <f>D300-H300</f>
        <v>0</v>
      </c>
      <c r="E301" s="157"/>
      <c r="F301" s="158" t="s">
        <v>104</v>
      </c>
      <c r="H301" s="150"/>
      <c r="I301" s="152"/>
    </row>
    <row r="302" spans="1:9" ht="17.100000000000001" customHeight="1" x14ac:dyDescent="0.2">
      <c r="A302" s="149"/>
      <c r="C302" s="307" t="str">
        <f>"("&amp;BAHTTEXT(D301)&amp;")"</f>
        <v>(ศูนย์บาทถ้วน)</v>
      </c>
      <c r="D302" s="307"/>
      <c r="E302" s="307"/>
      <c r="F302" s="307"/>
      <c r="G302" s="307"/>
      <c r="I302" s="152"/>
    </row>
    <row r="303" spans="1:9" ht="17.100000000000001" customHeight="1" x14ac:dyDescent="0.2">
      <c r="A303" s="149"/>
      <c r="C303" s="147"/>
      <c r="D303" s="147"/>
      <c r="E303" s="147"/>
      <c r="F303" s="147"/>
      <c r="G303" s="147"/>
      <c r="I303" s="152"/>
    </row>
    <row r="304" spans="1:9" ht="17.100000000000001" customHeight="1" x14ac:dyDescent="0.2">
      <c r="A304" s="149"/>
      <c r="C304" s="147"/>
      <c r="D304" s="147"/>
      <c r="E304" s="147"/>
      <c r="F304" s="147"/>
      <c r="G304" s="147"/>
      <c r="I304" s="152"/>
    </row>
    <row r="305" spans="1:9" ht="17.100000000000001" customHeight="1" x14ac:dyDescent="0.2">
      <c r="A305" s="149"/>
      <c r="I305" s="152"/>
    </row>
    <row r="306" spans="1:9" ht="17.100000000000001" customHeight="1" x14ac:dyDescent="0.2">
      <c r="A306" s="149"/>
      <c r="I306" s="152"/>
    </row>
    <row r="307" spans="1:9" ht="17.100000000000001" customHeight="1" x14ac:dyDescent="0.2">
      <c r="A307" s="308" t="s">
        <v>315</v>
      </c>
      <c r="B307" s="307"/>
      <c r="C307" s="307"/>
      <c r="D307" s="307"/>
      <c r="E307" s="307"/>
      <c r="F307" s="307"/>
      <c r="G307" s="307"/>
      <c r="H307" s="307"/>
      <c r="I307" s="309"/>
    </row>
    <row r="308" spans="1:9" ht="17.100000000000001" customHeight="1" x14ac:dyDescent="0.2">
      <c r="A308" s="310" t="s">
        <v>298</v>
      </c>
      <c r="B308" s="311"/>
      <c r="C308" s="311"/>
      <c r="D308" s="311"/>
      <c r="E308" s="311"/>
      <c r="F308" s="311"/>
      <c r="G308" s="311"/>
      <c r="H308" s="311"/>
      <c r="I308" s="312"/>
    </row>
    <row r="309" spans="1:9" ht="17.100000000000001" customHeight="1" x14ac:dyDescent="0.2">
      <c r="A309" s="313" t="str">
        <f>A67</f>
        <v>โรงพยาบาลสามโคก  ประจำเดือน  พฤศจิกายน  2568</v>
      </c>
      <c r="B309" s="314"/>
      <c r="C309" s="314"/>
      <c r="D309" s="314"/>
      <c r="E309" s="314"/>
      <c r="F309" s="314"/>
      <c r="G309" s="314"/>
      <c r="H309" s="314"/>
      <c r="I309" s="315"/>
    </row>
    <row r="310" spans="1:9" ht="17.100000000000001" customHeight="1" x14ac:dyDescent="0.2">
      <c r="A310" s="308" t="s">
        <v>625</v>
      </c>
      <c r="B310" s="307"/>
      <c r="C310" s="307"/>
      <c r="D310" s="307"/>
      <c r="E310" s="307"/>
      <c r="F310" s="307"/>
      <c r="G310" s="307"/>
      <c r="H310" s="307"/>
      <c r="I310" s="309"/>
    </row>
    <row r="311" spans="1:9" ht="17.100000000000001" customHeight="1" x14ac:dyDescent="0.2">
      <c r="A311" s="149"/>
      <c r="B311" s="153"/>
      <c r="C311" s="150"/>
      <c r="D311" s="147"/>
      <c r="E311" s="147"/>
      <c r="F311" s="147"/>
      <c r="G311" s="150"/>
      <c r="H311" s="150"/>
      <c r="I311" s="152"/>
    </row>
    <row r="312" spans="1:9" ht="17.100000000000001" customHeight="1" x14ac:dyDescent="0.2">
      <c r="A312" s="149"/>
      <c r="B312" s="307" t="s">
        <v>9</v>
      </c>
      <c r="C312" s="307"/>
      <c r="D312" s="307"/>
      <c r="E312" s="147"/>
      <c r="F312" s="147"/>
      <c r="G312" s="147" t="s">
        <v>10</v>
      </c>
      <c r="H312" s="147"/>
      <c r="I312" s="152"/>
    </row>
    <row r="313" spans="1:9" ht="17.100000000000001" customHeight="1" x14ac:dyDescent="0.2">
      <c r="A313" s="149"/>
      <c r="B313" s="150" t="s">
        <v>3</v>
      </c>
      <c r="C313" s="150"/>
      <c r="D313" s="154">
        <f>รายวัน!E50</f>
        <v>0</v>
      </c>
      <c r="E313" s="154"/>
      <c r="F313" s="155"/>
      <c r="G313" s="150" t="s">
        <v>99</v>
      </c>
      <c r="H313" s="154">
        <v>0</v>
      </c>
      <c r="I313" s="152"/>
    </row>
    <row r="314" spans="1:9" ht="17.100000000000001" customHeight="1" x14ac:dyDescent="0.2">
      <c r="A314" s="149"/>
      <c r="B314" s="150" t="s">
        <v>106</v>
      </c>
      <c r="C314" s="150"/>
      <c r="D314" s="154">
        <v>0</v>
      </c>
      <c r="E314" s="154"/>
      <c r="F314" s="155"/>
      <c r="G314" s="150" t="s">
        <v>116</v>
      </c>
      <c r="H314" s="154">
        <f>รายวัน!O50</f>
        <v>0</v>
      </c>
      <c r="I314" s="152"/>
    </row>
    <row r="315" spans="1:9" ht="17.100000000000001" customHeight="1" x14ac:dyDescent="0.2">
      <c r="A315" s="149"/>
      <c r="B315" s="306" t="s">
        <v>140</v>
      </c>
      <c r="C315" s="306"/>
      <c r="D315" s="154">
        <v>0</v>
      </c>
      <c r="E315" s="154"/>
      <c r="F315" s="155"/>
      <c r="G315" s="150" t="s">
        <v>54</v>
      </c>
      <c r="H315" s="154">
        <v>0</v>
      </c>
      <c r="I315" s="152"/>
    </row>
    <row r="316" spans="1:9" ht="17.100000000000001" customHeight="1" x14ac:dyDescent="0.2">
      <c r="A316" s="149"/>
      <c r="B316" s="306" t="s">
        <v>668</v>
      </c>
      <c r="C316" s="306"/>
      <c r="D316" s="154">
        <f>รายวัน!H50</f>
        <v>0</v>
      </c>
      <c r="E316" s="154"/>
      <c r="F316" s="155"/>
      <c r="G316" s="150" t="s">
        <v>100</v>
      </c>
      <c r="H316" s="154">
        <v>0</v>
      </c>
      <c r="I316" s="152"/>
    </row>
    <row r="317" spans="1:9" ht="17.100000000000001" customHeight="1" x14ac:dyDescent="0.2">
      <c r="A317" s="149"/>
      <c r="B317" s="306" t="s">
        <v>558</v>
      </c>
      <c r="C317" s="306"/>
      <c r="D317" s="154">
        <f>รายวัน!I50</f>
        <v>0</v>
      </c>
      <c r="E317" s="154"/>
      <c r="F317" s="155"/>
      <c r="G317" s="150" t="s">
        <v>55</v>
      </c>
      <c r="H317" s="156">
        <v>0</v>
      </c>
      <c r="I317" s="152"/>
    </row>
    <row r="318" spans="1:9" ht="17.100000000000001" customHeight="1" x14ac:dyDescent="0.2">
      <c r="A318" s="149"/>
      <c r="B318" s="306" t="s">
        <v>662</v>
      </c>
      <c r="C318" s="306"/>
      <c r="D318" s="154">
        <f>รายวัน!J50</f>
        <v>0</v>
      </c>
      <c r="E318" s="154"/>
      <c r="F318" s="155"/>
      <c r="G318" s="153" t="s">
        <v>377</v>
      </c>
      <c r="H318" s="156">
        <f>รายวัน!S50</f>
        <v>0</v>
      </c>
      <c r="I318" s="152"/>
    </row>
    <row r="319" spans="1:9" ht="17.100000000000001" customHeight="1" x14ac:dyDescent="0.2">
      <c r="A319" s="149"/>
      <c r="B319" s="306" t="s">
        <v>5</v>
      </c>
      <c r="C319" s="306"/>
      <c r="D319" s="154">
        <f>รายวัน!K201</f>
        <v>0</v>
      </c>
      <c r="E319" s="154"/>
      <c r="F319" s="155"/>
      <c r="G319" s="150" t="s">
        <v>56</v>
      </c>
      <c r="H319" s="156">
        <f>รายวัน!T50</f>
        <v>0</v>
      </c>
      <c r="I319" s="152"/>
    </row>
    <row r="320" spans="1:9" ht="17.100000000000001" customHeight="1" x14ac:dyDescent="0.2">
      <c r="A320" s="149"/>
      <c r="B320" s="150" t="s">
        <v>6</v>
      </c>
      <c r="C320" s="150"/>
      <c r="D320" s="154">
        <f>ข้าราชการ!C863</f>
        <v>0</v>
      </c>
      <c r="E320" s="154"/>
      <c r="F320" s="155"/>
      <c r="G320" s="150" t="s">
        <v>57</v>
      </c>
      <c r="H320" s="156">
        <f>รายวัน!U50</f>
        <v>0</v>
      </c>
      <c r="I320" s="152"/>
    </row>
    <row r="321" spans="1:9" ht="17.100000000000001" customHeight="1" x14ac:dyDescent="0.2">
      <c r="A321" s="149"/>
      <c r="B321" s="150" t="s">
        <v>7</v>
      </c>
      <c r="C321" s="150"/>
      <c r="D321" s="154">
        <v>0</v>
      </c>
      <c r="E321" s="154"/>
      <c r="F321" s="155"/>
      <c r="G321" s="150"/>
      <c r="H321" s="154"/>
      <c r="I321" s="152"/>
    </row>
    <row r="322" spans="1:9" ht="17.100000000000001" customHeight="1" x14ac:dyDescent="0.2">
      <c r="A322" s="149"/>
      <c r="B322" s="307" t="s">
        <v>101</v>
      </c>
      <c r="C322" s="307"/>
      <c r="D322" s="154">
        <f>SUM(D313:D321)</f>
        <v>0</v>
      </c>
      <c r="E322" s="154"/>
      <c r="F322" s="157"/>
      <c r="G322" s="147" t="s">
        <v>102</v>
      </c>
      <c r="H322" s="157">
        <f>SUM(H313:H321)</f>
        <v>0</v>
      </c>
      <c r="I322" s="152"/>
    </row>
    <row r="323" spans="1:9" ht="17.100000000000001" customHeight="1" x14ac:dyDescent="0.2">
      <c r="A323" s="149"/>
      <c r="B323" s="150"/>
      <c r="C323" s="147" t="s">
        <v>103</v>
      </c>
      <c r="D323" s="157">
        <f>D322-H322</f>
        <v>0</v>
      </c>
      <c r="E323" s="157"/>
      <c r="F323" s="158" t="s">
        <v>104</v>
      </c>
      <c r="H323" s="150"/>
      <c r="I323" s="152"/>
    </row>
    <row r="324" spans="1:9" ht="17.100000000000001" customHeight="1" x14ac:dyDescent="0.2">
      <c r="A324" s="149"/>
      <c r="C324" s="307" t="str">
        <f>"("&amp;BAHTTEXT(D323)&amp;")"</f>
        <v>(ศูนย์บาทถ้วน)</v>
      </c>
      <c r="D324" s="307"/>
      <c r="E324" s="307"/>
      <c r="F324" s="307"/>
      <c r="G324" s="307"/>
      <c r="I324" s="152"/>
    </row>
    <row r="325" spans="1:9" ht="17.100000000000001" customHeight="1" x14ac:dyDescent="0.2">
      <c r="A325" s="149"/>
      <c r="C325" s="147"/>
      <c r="D325" s="147"/>
      <c r="E325" s="147"/>
      <c r="F325" s="147"/>
      <c r="G325" s="147"/>
      <c r="I325" s="152"/>
    </row>
    <row r="326" spans="1:9" ht="17.100000000000001" customHeight="1" x14ac:dyDescent="0.2">
      <c r="A326" s="149"/>
      <c r="C326" s="147"/>
      <c r="D326" s="147"/>
      <c r="E326" s="147"/>
      <c r="F326" s="147"/>
      <c r="G326" s="147"/>
      <c r="I326" s="152"/>
    </row>
    <row r="327" spans="1:9" ht="17.100000000000001" customHeight="1" x14ac:dyDescent="0.2">
      <c r="A327" s="149"/>
      <c r="I327" s="152"/>
    </row>
    <row r="328" spans="1:9" ht="17.100000000000001" customHeight="1" x14ac:dyDescent="0.2">
      <c r="A328" s="149"/>
      <c r="I328" s="152"/>
    </row>
    <row r="329" spans="1:9" ht="17.100000000000001" customHeight="1" x14ac:dyDescent="0.2">
      <c r="A329" s="308" t="s">
        <v>315</v>
      </c>
      <c r="B329" s="307"/>
      <c r="C329" s="307"/>
      <c r="D329" s="307"/>
      <c r="E329" s="307"/>
      <c r="F329" s="307"/>
      <c r="G329" s="307"/>
      <c r="H329" s="307"/>
      <c r="I329" s="309"/>
    </row>
    <row r="330" spans="1:9" ht="17.100000000000001" customHeight="1" x14ac:dyDescent="0.2">
      <c r="A330" s="310" t="s">
        <v>298</v>
      </c>
      <c r="B330" s="311"/>
      <c r="C330" s="311"/>
      <c r="D330" s="311"/>
      <c r="E330" s="311"/>
      <c r="F330" s="311"/>
      <c r="G330" s="311"/>
      <c r="H330" s="311"/>
      <c r="I330" s="312"/>
    </row>
  </sheetData>
  <mergeCells count="216">
    <mergeCell ref="A46:I46"/>
    <mergeCell ref="B55:C55"/>
    <mergeCell ref="B73:C73"/>
    <mergeCell ref="B70:D70"/>
    <mergeCell ref="A2:I2"/>
    <mergeCell ref="B102:C102"/>
    <mergeCell ref="A110:I110"/>
    <mergeCell ref="K31:L31"/>
    <mergeCell ref="K30:L30"/>
    <mergeCell ref="B26:D26"/>
    <mergeCell ref="K55:L55"/>
    <mergeCell ref="K52:L52"/>
    <mergeCell ref="K53:L53"/>
    <mergeCell ref="J66:R66"/>
    <mergeCell ref="K48:M48"/>
    <mergeCell ref="A68:I68"/>
    <mergeCell ref="K51:L51"/>
    <mergeCell ref="J44:R44"/>
    <mergeCell ref="A44:I44"/>
    <mergeCell ref="J43:R43"/>
    <mergeCell ref="C16:G16"/>
    <mergeCell ref="B14:C14"/>
    <mergeCell ref="B33:C33"/>
    <mergeCell ref="B31:C31"/>
    <mergeCell ref="B29:C29"/>
    <mergeCell ref="K11:L11"/>
    <mergeCell ref="B58:C58"/>
    <mergeCell ref="B51:C51"/>
    <mergeCell ref="K9:L9"/>
    <mergeCell ref="K10:L10"/>
    <mergeCell ref="J22:R22"/>
    <mergeCell ref="J23:R23"/>
    <mergeCell ref="A22:I22"/>
    <mergeCell ref="A21:I21"/>
    <mergeCell ref="B164:C164"/>
    <mergeCell ref="B139:C139"/>
    <mergeCell ref="A131:I131"/>
    <mergeCell ref="A132:I132"/>
    <mergeCell ref="A111:I111"/>
    <mergeCell ref="B117:C117"/>
    <mergeCell ref="B114:D114"/>
    <mergeCell ref="B75:C75"/>
    <mergeCell ref="B80:C80"/>
    <mergeCell ref="A112:I112"/>
    <mergeCell ref="A134:I134"/>
    <mergeCell ref="A154:I154"/>
    <mergeCell ref="B158:D158"/>
    <mergeCell ref="B36:C36"/>
    <mergeCell ref="K26:M26"/>
    <mergeCell ref="B143:C143"/>
    <mergeCell ref="A133:I133"/>
    <mergeCell ref="B120:C120"/>
    <mergeCell ref="B250:C250"/>
    <mergeCell ref="B146:C146"/>
    <mergeCell ref="C148:G148"/>
    <mergeCell ref="B190:C190"/>
    <mergeCell ref="B249:C249"/>
    <mergeCell ref="B208:C208"/>
    <mergeCell ref="A219:I219"/>
    <mergeCell ref="B183:C183"/>
    <mergeCell ref="B184:C184"/>
    <mergeCell ref="A176:I176"/>
    <mergeCell ref="A241:I241"/>
    <mergeCell ref="A177:I177"/>
    <mergeCell ref="B180:D180"/>
    <mergeCell ref="A155:I155"/>
    <mergeCell ref="C192:G192"/>
    <mergeCell ref="A175:I175"/>
    <mergeCell ref="B161:C161"/>
    <mergeCell ref="A197:I197"/>
    <mergeCell ref="A198:I198"/>
    <mergeCell ref="B163:C163"/>
    <mergeCell ref="B10:C10"/>
    <mergeCell ref="B11:C11"/>
    <mergeCell ref="B32:C32"/>
    <mergeCell ref="K29:L29"/>
    <mergeCell ref="K36:L36"/>
    <mergeCell ref="B165:C165"/>
    <mergeCell ref="B168:C168"/>
    <mergeCell ref="A153:I153"/>
    <mergeCell ref="C170:G170"/>
    <mergeCell ref="B30:C30"/>
    <mergeCell ref="K32:L32"/>
    <mergeCell ref="B119:C119"/>
    <mergeCell ref="B121:C121"/>
    <mergeCell ref="B118:C118"/>
    <mergeCell ref="B124:C124"/>
    <mergeCell ref="C126:G126"/>
    <mergeCell ref="B141:C141"/>
    <mergeCell ref="B136:D136"/>
    <mergeCell ref="B140:C140"/>
    <mergeCell ref="K58:L58"/>
    <mergeCell ref="J45:R45"/>
    <mergeCell ref="L60:P60"/>
    <mergeCell ref="J65:R65"/>
    <mergeCell ref="B76:C76"/>
    <mergeCell ref="B92:D92"/>
    <mergeCell ref="A89:I89"/>
    <mergeCell ref="B74:C74"/>
    <mergeCell ref="B97:C97"/>
    <mergeCell ref="A90:I90"/>
    <mergeCell ref="K4:M4"/>
    <mergeCell ref="B7:C7"/>
    <mergeCell ref="K7:L7"/>
    <mergeCell ref="C38:G38"/>
    <mergeCell ref="K54:L54"/>
    <mergeCell ref="K33:L33"/>
    <mergeCell ref="K14:L14"/>
    <mergeCell ref="A43:I43"/>
    <mergeCell ref="B48:D48"/>
    <mergeCell ref="L16:P16"/>
    <mergeCell ref="J21:R21"/>
    <mergeCell ref="B8:C8"/>
    <mergeCell ref="B9:C9"/>
    <mergeCell ref="A45:I45"/>
    <mergeCell ref="A23:I23"/>
    <mergeCell ref="A24:I24"/>
    <mergeCell ref="B52:C52"/>
    <mergeCell ref="B53:C53"/>
    <mergeCell ref="B54:C54"/>
    <mergeCell ref="B297:C297"/>
    <mergeCell ref="B300:C300"/>
    <mergeCell ref="B295:C295"/>
    <mergeCell ref="B296:C296"/>
    <mergeCell ref="A310:I310"/>
    <mergeCell ref="J1:R1"/>
    <mergeCell ref="K8:L8"/>
    <mergeCell ref="L38:P38"/>
    <mergeCell ref="A109:I109"/>
    <mergeCell ref="A65:I65"/>
    <mergeCell ref="A66:I66"/>
    <mergeCell ref="A67:I67"/>
    <mergeCell ref="A87:I87"/>
    <mergeCell ref="A88:I88"/>
    <mergeCell ref="B98:C98"/>
    <mergeCell ref="B99:C99"/>
    <mergeCell ref="C104:G104"/>
    <mergeCell ref="B95:C95"/>
    <mergeCell ref="B96:C96"/>
    <mergeCell ref="C82:G82"/>
    <mergeCell ref="A1:I1"/>
    <mergeCell ref="B4:D4"/>
    <mergeCell ref="B77:C77"/>
    <mergeCell ref="C60:G60"/>
    <mergeCell ref="A330:I330"/>
    <mergeCell ref="C302:G302"/>
    <mergeCell ref="A307:I307"/>
    <mergeCell ref="A308:I308"/>
    <mergeCell ref="A309:I309"/>
    <mergeCell ref="B319:C319"/>
    <mergeCell ref="B227:C227"/>
    <mergeCell ref="B228:C228"/>
    <mergeCell ref="B246:D246"/>
    <mergeCell ref="A288:I288"/>
    <mergeCell ref="A287:I287"/>
    <mergeCell ref="A285:I285"/>
    <mergeCell ref="A286:I286"/>
    <mergeCell ref="B290:D290"/>
    <mergeCell ref="B293:C293"/>
    <mergeCell ref="B312:D312"/>
    <mergeCell ref="B315:C315"/>
    <mergeCell ref="B318:C318"/>
    <mergeCell ref="B294:C294"/>
    <mergeCell ref="A329:I329"/>
    <mergeCell ref="B322:C322"/>
    <mergeCell ref="C324:G324"/>
    <mergeCell ref="B317:C317"/>
    <mergeCell ref="B316:C316"/>
    <mergeCell ref="B185:C185"/>
    <mergeCell ref="B186:C186"/>
    <mergeCell ref="B230:C230"/>
    <mergeCell ref="A220:I220"/>
    <mergeCell ref="A178:I178"/>
    <mergeCell ref="C280:G280"/>
    <mergeCell ref="B274:C274"/>
    <mergeCell ref="B275:C275"/>
    <mergeCell ref="B278:C278"/>
    <mergeCell ref="B229:C229"/>
    <mergeCell ref="A199:I199"/>
    <mergeCell ref="B202:D202"/>
    <mergeCell ref="B205:C205"/>
    <mergeCell ref="B252:C252"/>
    <mergeCell ref="B251:C251"/>
    <mergeCell ref="B273:C273"/>
    <mergeCell ref="A265:I265"/>
    <mergeCell ref="C258:G258"/>
    <mergeCell ref="B268:D268"/>
    <mergeCell ref="B253:C253"/>
    <mergeCell ref="A266:I266"/>
    <mergeCell ref="B271:C271"/>
    <mergeCell ref="B256:C256"/>
    <mergeCell ref="A263:I263"/>
    <mergeCell ref="J2:R2"/>
    <mergeCell ref="A222:I222"/>
    <mergeCell ref="J24:R24"/>
    <mergeCell ref="J46:R46"/>
    <mergeCell ref="B162:C162"/>
    <mergeCell ref="A200:I200"/>
    <mergeCell ref="A244:I244"/>
    <mergeCell ref="A156:I156"/>
    <mergeCell ref="B272:C272"/>
    <mergeCell ref="A264:I264"/>
    <mergeCell ref="B206:C206"/>
    <mergeCell ref="A242:I242"/>
    <mergeCell ref="C214:G214"/>
    <mergeCell ref="B142:C142"/>
    <mergeCell ref="B212:C212"/>
    <mergeCell ref="B231:C231"/>
    <mergeCell ref="B234:C234"/>
    <mergeCell ref="C236:G236"/>
    <mergeCell ref="B207:C207"/>
    <mergeCell ref="A243:I243"/>
    <mergeCell ref="B209:C209"/>
    <mergeCell ref="B187:C187"/>
    <mergeCell ref="A221:I221"/>
    <mergeCell ref="B224:D224"/>
  </mergeCells>
  <pageMargins left="0.23622047244094491" right="0" top="0.31496062992125984" bottom="0" header="0" footer="0"/>
  <pageSetup paperSize="11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 tint="0.39997558519241921"/>
  </sheetPr>
  <dimension ref="A1:I264"/>
  <sheetViews>
    <sheetView topLeftCell="A160" zoomScale="80" zoomScaleNormal="80" workbookViewId="0">
      <selection activeCell="H160" sqref="H160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75" style="145" customWidth="1"/>
    <col min="7" max="7" width="24.75" style="145" customWidth="1"/>
    <col min="8" max="8" width="12.625" style="145" customWidth="1"/>
    <col min="9" max="9" width="5.625" style="145" customWidth="1"/>
    <col min="10" max="16384" width="9" style="145"/>
  </cols>
  <sheetData>
    <row r="1" spans="1:9" ht="17.100000000000001" customHeight="1" x14ac:dyDescent="0.2">
      <c r="A1" s="313" t="str">
        <f>ขร1!A1</f>
        <v>โรงพยาบาลสามโคก  ประจำเดือน  พฤศจิกายน  2568</v>
      </c>
      <c r="B1" s="314"/>
      <c r="C1" s="314"/>
      <c r="D1" s="314"/>
      <c r="E1" s="314"/>
      <c r="F1" s="314"/>
      <c r="G1" s="314"/>
      <c r="H1" s="314"/>
      <c r="I1" s="315"/>
    </row>
    <row r="2" spans="1:9" ht="17.100000000000001" customHeight="1" x14ac:dyDescent="0.2">
      <c r="A2" s="308" t="s">
        <v>324</v>
      </c>
      <c r="B2" s="307"/>
      <c r="C2" s="307"/>
      <c r="D2" s="307"/>
      <c r="E2" s="307"/>
      <c r="F2" s="307"/>
      <c r="G2" s="307"/>
      <c r="H2" s="307"/>
      <c r="I2" s="309"/>
    </row>
    <row r="3" spans="1:9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</row>
    <row r="4" spans="1:9" ht="17.100000000000001" customHeight="1" x14ac:dyDescent="0.2">
      <c r="A4" s="149"/>
      <c r="B4" s="307" t="s">
        <v>9</v>
      </c>
      <c r="C4" s="307"/>
      <c r="D4" s="307"/>
      <c r="E4" s="147"/>
      <c r="F4" s="147"/>
      <c r="G4" s="307" t="s">
        <v>10</v>
      </c>
      <c r="H4" s="307"/>
      <c r="I4" s="152"/>
    </row>
    <row r="5" spans="1:9" ht="17.100000000000001" customHeight="1" x14ac:dyDescent="0.2">
      <c r="A5" s="149"/>
      <c r="B5" s="306" t="s">
        <v>3</v>
      </c>
      <c r="C5" s="306"/>
      <c r="D5" s="154">
        <v>0</v>
      </c>
      <c r="E5" s="154"/>
      <c r="F5" s="155"/>
      <c r="G5" s="150" t="s">
        <v>99</v>
      </c>
      <c r="H5" s="154">
        <v>0</v>
      </c>
      <c r="I5" s="169"/>
    </row>
    <row r="6" spans="1:9" ht="17.100000000000001" customHeight="1" x14ac:dyDescent="0.2">
      <c r="A6" s="149"/>
      <c r="B6" s="306" t="s">
        <v>106</v>
      </c>
      <c r="C6" s="306"/>
      <c r="D6" s="154">
        <v>0</v>
      </c>
      <c r="E6" s="154"/>
      <c r="F6" s="155"/>
      <c r="G6" s="150" t="s">
        <v>116</v>
      </c>
      <c r="H6" s="154">
        <v>0</v>
      </c>
      <c r="I6" s="169"/>
    </row>
    <row r="7" spans="1:9" ht="17.100000000000001" customHeight="1" x14ac:dyDescent="0.2">
      <c r="A7" s="149"/>
      <c r="B7" s="306" t="s">
        <v>107</v>
      </c>
      <c r="C7" s="306"/>
      <c r="D7" s="154">
        <v>0</v>
      </c>
      <c r="E7" s="154"/>
      <c r="F7" s="155"/>
      <c r="G7" s="150" t="s">
        <v>54</v>
      </c>
      <c r="H7" s="154">
        <v>0</v>
      </c>
      <c r="I7" s="169"/>
    </row>
    <row r="8" spans="1:9" ht="17.100000000000001" customHeight="1" x14ac:dyDescent="0.2">
      <c r="A8" s="149"/>
      <c r="B8" s="306" t="s">
        <v>105</v>
      </c>
      <c r="C8" s="306"/>
      <c r="D8" s="154">
        <v>0</v>
      </c>
      <c r="E8" s="154"/>
      <c r="F8" s="155"/>
      <c r="G8" s="150" t="s">
        <v>100</v>
      </c>
      <c r="H8" s="154">
        <v>0</v>
      </c>
      <c r="I8" s="169"/>
    </row>
    <row r="9" spans="1:9" ht="17.100000000000001" customHeight="1" x14ac:dyDescent="0.2">
      <c r="A9" s="149"/>
      <c r="B9" s="306" t="s">
        <v>291</v>
      </c>
      <c r="C9" s="306"/>
      <c r="D9" s="154">
        <v>0</v>
      </c>
      <c r="E9" s="154"/>
      <c r="F9" s="155"/>
      <c r="G9" s="150" t="s">
        <v>55</v>
      </c>
      <c r="H9" s="156">
        <v>0</v>
      </c>
      <c r="I9" s="169"/>
    </row>
    <row r="10" spans="1:9" ht="17.100000000000001" customHeight="1" x14ac:dyDescent="0.2">
      <c r="A10" s="149"/>
      <c r="B10" s="306" t="s">
        <v>662</v>
      </c>
      <c r="C10" s="306"/>
      <c r="D10" s="154">
        <f>ช่วย!J8</f>
        <v>2</v>
      </c>
      <c r="E10" s="154"/>
      <c r="F10" s="155"/>
      <c r="G10" s="150" t="s">
        <v>56</v>
      </c>
      <c r="H10" s="156">
        <v>0</v>
      </c>
      <c r="I10" s="169"/>
    </row>
    <row r="11" spans="1:9" ht="17.100000000000001" customHeight="1" x14ac:dyDescent="0.2">
      <c r="A11" s="149"/>
      <c r="B11" s="306" t="s">
        <v>136</v>
      </c>
      <c r="C11" s="306"/>
      <c r="D11" s="154">
        <f>ช่วย!K8</f>
        <v>0</v>
      </c>
      <c r="E11" s="154"/>
      <c r="F11" s="155"/>
      <c r="G11" s="150" t="s">
        <v>57</v>
      </c>
      <c r="H11" s="156">
        <v>0</v>
      </c>
      <c r="I11" s="169"/>
    </row>
    <row r="12" spans="1:9" ht="17.100000000000001" customHeight="1" x14ac:dyDescent="0.2">
      <c r="A12" s="149"/>
      <c r="B12" s="306" t="s">
        <v>6</v>
      </c>
      <c r="C12" s="306"/>
      <c r="D12" s="154">
        <v>0</v>
      </c>
      <c r="E12" s="154"/>
      <c r="F12" s="155"/>
      <c r="G12" s="150"/>
      <c r="H12" s="154"/>
      <c r="I12" s="169"/>
    </row>
    <row r="13" spans="1:9" ht="17.100000000000001" customHeight="1" x14ac:dyDescent="0.2">
      <c r="A13" s="149"/>
      <c r="B13" s="306" t="s">
        <v>7</v>
      </c>
      <c r="C13" s="306"/>
      <c r="D13" s="154">
        <v>0</v>
      </c>
      <c r="E13" s="154"/>
      <c r="F13" s="155"/>
      <c r="G13" s="150"/>
      <c r="H13" s="154"/>
      <c r="I13" s="169"/>
    </row>
    <row r="14" spans="1:9" ht="17.100000000000001" customHeight="1" x14ac:dyDescent="0.2">
      <c r="A14" s="149"/>
      <c r="B14" s="307" t="s">
        <v>117</v>
      </c>
      <c r="C14" s="307"/>
      <c r="D14" s="157">
        <f>SUM(D5:D13)</f>
        <v>2</v>
      </c>
      <c r="E14" s="157"/>
      <c r="F14" s="157"/>
      <c r="G14" s="147" t="s">
        <v>118</v>
      </c>
      <c r="H14" s="157">
        <f>SUM(H5:H13)</f>
        <v>0</v>
      </c>
      <c r="I14" s="169"/>
    </row>
    <row r="15" spans="1:9" ht="17.100000000000001" customHeight="1" x14ac:dyDescent="0.2">
      <c r="A15" s="149"/>
      <c r="B15" s="150"/>
      <c r="C15" s="147" t="s">
        <v>103</v>
      </c>
      <c r="D15" s="157">
        <f>D14-H14</f>
        <v>2</v>
      </c>
      <c r="E15" s="157"/>
      <c r="F15" s="158" t="s">
        <v>104</v>
      </c>
      <c r="H15" s="150"/>
      <c r="I15" s="152"/>
    </row>
    <row r="16" spans="1:9" ht="17.100000000000001" customHeight="1" x14ac:dyDescent="0.2">
      <c r="A16" s="149"/>
      <c r="B16" s="150"/>
      <c r="C16" s="307" t="str">
        <f>"("&amp;BAHTTEXT(D15)&amp;")"</f>
        <v>(สองบาทถ้วน)</v>
      </c>
      <c r="D16" s="307"/>
      <c r="E16" s="307"/>
      <c r="F16" s="307"/>
      <c r="G16" s="307"/>
      <c r="H16" s="150"/>
      <c r="I16" s="152"/>
    </row>
    <row r="17" spans="1:9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</row>
    <row r="18" spans="1:9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</row>
    <row r="19" spans="1:9" ht="17.100000000000001" customHeight="1" x14ac:dyDescent="0.2">
      <c r="A19" s="149"/>
      <c r="B19" s="150"/>
      <c r="C19" s="147"/>
      <c r="D19" s="147"/>
      <c r="E19" s="147"/>
      <c r="F19" s="147"/>
      <c r="G19" s="147"/>
      <c r="H19" s="150"/>
      <c r="I19" s="152"/>
    </row>
    <row r="20" spans="1:9" ht="17.100000000000001" customHeight="1" x14ac:dyDescent="0.2">
      <c r="A20" s="149"/>
      <c r="B20" s="150"/>
      <c r="C20" s="150"/>
      <c r="D20" s="150"/>
      <c r="E20" s="150"/>
      <c r="F20" s="150"/>
      <c r="G20" s="150"/>
      <c r="H20" s="150"/>
      <c r="I20" s="152"/>
    </row>
    <row r="21" spans="1:9" ht="17.100000000000001" customHeight="1" x14ac:dyDescent="0.2">
      <c r="A21" s="308" t="s">
        <v>315</v>
      </c>
      <c r="B21" s="307"/>
      <c r="C21" s="307"/>
      <c r="D21" s="307"/>
      <c r="E21" s="307"/>
      <c r="F21" s="307"/>
      <c r="G21" s="307"/>
      <c r="H21" s="307"/>
      <c r="I21" s="309"/>
    </row>
    <row r="22" spans="1:9" ht="17.100000000000001" customHeight="1" x14ac:dyDescent="0.2">
      <c r="A22" s="310" t="s">
        <v>298</v>
      </c>
      <c r="B22" s="311"/>
      <c r="C22" s="311"/>
      <c r="D22" s="311"/>
      <c r="E22" s="311"/>
      <c r="F22" s="311"/>
      <c r="G22" s="311"/>
      <c r="H22" s="311"/>
      <c r="I22" s="312"/>
    </row>
    <row r="23" spans="1:9" ht="17.100000000000001" customHeight="1" x14ac:dyDescent="0.2">
      <c r="A23" s="313" t="str">
        <f>รว!A1</f>
        <v>โรงพยาบาลสามโคก  ประจำเดือน  พฤศจิกายน  2568</v>
      </c>
      <c r="B23" s="314"/>
      <c r="C23" s="314"/>
      <c r="D23" s="314"/>
      <c r="E23" s="314"/>
      <c r="F23" s="314"/>
      <c r="G23" s="314"/>
      <c r="H23" s="314"/>
      <c r="I23" s="315"/>
    </row>
    <row r="24" spans="1:9" ht="17.100000000000001" customHeight="1" x14ac:dyDescent="0.2">
      <c r="A24" s="308" t="s">
        <v>352</v>
      </c>
      <c r="B24" s="307"/>
      <c r="C24" s="307"/>
      <c r="D24" s="307"/>
      <c r="E24" s="307"/>
      <c r="F24" s="307"/>
      <c r="G24" s="307"/>
      <c r="H24" s="307"/>
      <c r="I24" s="309"/>
    </row>
    <row r="25" spans="1:9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</row>
    <row r="26" spans="1:9" ht="17.100000000000001" customHeight="1" x14ac:dyDescent="0.2">
      <c r="A26" s="149"/>
      <c r="B26" s="307" t="s">
        <v>9</v>
      </c>
      <c r="C26" s="307"/>
      <c r="D26" s="307"/>
      <c r="E26" s="147"/>
      <c r="F26" s="147"/>
      <c r="G26" s="307" t="s">
        <v>10</v>
      </c>
      <c r="H26" s="307"/>
      <c r="I26" s="152"/>
    </row>
    <row r="27" spans="1:9" ht="17.100000000000001" customHeight="1" x14ac:dyDescent="0.2">
      <c r="A27" s="149"/>
      <c r="B27" s="306" t="s">
        <v>3</v>
      </c>
      <c r="C27" s="306"/>
      <c r="D27" s="154">
        <v>0</v>
      </c>
      <c r="E27" s="154"/>
      <c r="F27" s="155"/>
      <c r="G27" s="150" t="s">
        <v>99</v>
      </c>
      <c r="H27" s="154">
        <v>0</v>
      </c>
      <c r="I27" s="169"/>
    </row>
    <row r="28" spans="1:9" ht="17.100000000000001" customHeight="1" x14ac:dyDescent="0.2">
      <c r="A28" s="149"/>
      <c r="B28" s="306" t="s">
        <v>106</v>
      </c>
      <c r="C28" s="306"/>
      <c r="D28" s="154">
        <v>0</v>
      </c>
      <c r="E28" s="154"/>
      <c r="F28" s="155"/>
      <c r="G28" s="150" t="s">
        <v>116</v>
      </c>
      <c r="H28" s="154">
        <v>0</v>
      </c>
      <c r="I28" s="169"/>
    </row>
    <row r="29" spans="1:9" ht="17.100000000000001" customHeight="1" x14ac:dyDescent="0.2">
      <c r="A29" s="149"/>
      <c r="B29" s="306" t="s">
        <v>107</v>
      </c>
      <c r="C29" s="306"/>
      <c r="D29" s="154">
        <v>0</v>
      </c>
      <c r="E29" s="154"/>
      <c r="F29" s="155"/>
      <c r="G29" s="150" t="s">
        <v>54</v>
      </c>
      <c r="H29" s="154">
        <v>0</v>
      </c>
      <c r="I29" s="169"/>
    </row>
    <row r="30" spans="1:9" ht="17.100000000000001" customHeight="1" x14ac:dyDescent="0.2">
      <c r="A30" s="149"/>
      <c r="B30" s="306" t="s">
        <v>105</v>
      </c>
      <c r="C30" s="306"/>
      <c r="D30" s="154">
        <v>0</v>
      </c>
      <c r="E30" s="154"/>
      <c r="F30" s="155"/>
      <c r="G30" s="150" t="s">
        <v>100</v>
      </c>
      <c r="H30" s="154">
        <v>0</v>
      </c>
      <c r="I30" s="169"/>
    </row>
    <row r="31" spans="1:9" ht="17.100000000000001" customHeight="1" x14ac:dyDescent="0.2">
      <c r="A31" s="149"/>
      <c r="B31" s="306" t="s">
        <v>291</v>
      </c>
      <c r="C31" s="306"/>
      <c r="D31" s="154">
        <v>0</v>
      </c>
      <c r="E31" s="154"/>
      <c r="F31" s="155"/>
      <c r="G31" s="150" t="s">
        <v>55</v>
      </c>
      <c r="H31" s="156">
        <v>0</v>
      </c>
      <c r="I31" s="169"/>
    </row>
    <row r="32" spans="1:9" ht="17.100000000000001" customHeight="1" x14ac:dyDescent="0.2">
      <c r="A32" s="149"/>
      <c r="B32" s="306" t="s">
        <v>662</v>
      </c>
      <c r="C32" s="306"/>
      <c r="D32" s="154">
        <f>ช่วย!J9</f>
        <v>0</v>
      </c>
      <c r="E32" s="154"/>
      <c r="F32" s="155"/>
      <c r="G32" s="150" t="s">
        <v>56</v>
      </c>
      <c r="H32" s="156">
        <v>0</v>
      </c>
      <c r="I32" s="169"/>
    </row>
    <row r="33" spans="1:9" ht="17.100000000000001" customHeight="1" x14ac:dyDescent="0.2">
      <c r="A33" s="149"/>
      <c r="B33" s="306" t="s">
        <v>136</v>
      </c>
      <c r="C33" s="306"/>
      <c r="D33" s="154">
        <f>ช่วย!K9</f>
        <v>0</v>
      </c>
      <c r="E33" s="154"/>
      <c r="F33" s="155"/>
      <c r="G33" s="150" t="s">
        <v>57</v>
      </c>
      <c r="H33" s="156">
        <v>0</v>
      </c>
      <c r="I33" s="169"/>
    </row>
    <row r="34" spans="1:9" ht="17.100000000000001" customHeight="1" x14ac:dyDescent="0.2">
      <c r="A34" s="149"/>
      <c r="B34" s="306" t="s">
        <v>6</v>
      </c>
      <c r="C34" s="306"/>
      <c r="D34" s="154">
        <v>0</v>
      </c>
      <c r="E34" s="154"/>
      <c r="F34" s="155"/>
      <c r="G34" s="150"/>
      <c r="H34" s="154"/>
      <c r="I34" s="169"/>
    </row>
    <row r="35" spans="1:9" ht="17.100000000000001" customHeight="1" x14ac:dyDescent="0.2">
      <c r="A35" s="149"/>
      <c r="B35" s="306" t="s">
        <v>7</v>
      </c>
      <c r="C35" s="306"/>
      <c r="D35" s="154">
        <v>0</v>
      </c>
      <c r="E35" s="154"/>
      <c r="F35" s="155"/>
      <c r="G35" s="150"/>
      <c r="H35" s="154"/>
      <c r="I35" s="169"/>
    </row>
    <row r="36" spans="1:9" ht="17.100000000000001" customHeight="1" x14ac:dyDescent="0.2">
      <c r="A36" s="149"/>
      <c r="B36" s="307" t="s">
        <v>117</v>
      </c>
      <c r="C36" s="307"/>
      <c r="D36" s="157">
        <f>SUM(D27:D35)</f>
        <v>0</v>
      </c>
      <c r="E36" s="157"/>
      <c r="F36" s="157"/>
      <c r="G36" s="147" t="s">
        <v>118</v>
      </c>
      <c r="H36" s="157">
        <f>SUM(H27:H35)</f>
        <v>0</v>
      </c>
      <c r="I36" s="169"/>
    </row>
    <row r="37" spans="1:9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</row>
    <row r="38" spans="1:9" ht="17.100000000000001" customHeight="1" x14ac:dyDescent="0.2">
      <c r="A38" s="149"/>
      <c r="B38" s="150"/>
      <c r="C38" s="307" t="str">
        <f>"("&amp;BAHTTEXT(D37)&amp;")"</f>
        <v>(ศูนย์บาทถ้วน)</v>
      </c>
      <c r="D38" s="307"/>
      <c r="E38" s="307"/>
      <c r="F38" s="307"/>
      <c r="G38" s="307"/>
      <c r="H38" s="150"/>
      <c r="I38" s="152"/>
    </row>
    <row r="39" spans="1:9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</row>
    <row r="40" spans="1:9" ht="17.100000000000001" customHeight="1" x14ac:dyDescent="0.2">
      <c r="A40" s="149"/>
      <c r="B40" s="150"/>
      <c r="C40" s="147"/>
      <c r="D40" s="147"/>
      <c r="E40" s="147"/>
      <c r="F40" s="147"/>
      <c r="G40" s="147"/>
      <c r="H40" s="150"/>
      <c r="I40" s="152"/>
    </row>
    <row r="41" spans="1:9" ht="17.100000000000001" customHeight="1" x14ac:dyDescent="0.2">
      <c r="A41" s="149"/>
      <c r="B41" s="150"/>
      <c r="C41" s="147"/>
      <c r="D41" s="147"/>
      <c r="E41" s="147"/>
      <c r="F41" s="147"/>
      <c r="G41" s="147"/>
      <c r="H41" s="150"/>
      <c r="I41" s="152"/>
    </row>
    <row r="42" spans="1:9" ht="17.100000000000001" customHeight="1" x14ac:dyDescent="0.2">
      <c r="A42" s="149"/>
      <c r="B42" s="150"/>
      <c r="C42" s="150"/>
      <c r="D42" s="150"/>
      <c r="E42" s="150"/>
      <c r="F42" s="150"/>
      <c r="G42" s="150"/>
      <c r="H42" s="150"/>
      <c r="I42" s="152"/>
    </row>
    <row r="43" spans="1:9" ht="17.100000000000001" customHeight="1" x14ac:dyDescent="0.2">
      <c r="A43" s="308" t="s">
        <v>315</v>
      </c>
      <c r="B43" s="307"/>
      <c r="C43" s="307"/>
      <c r="D43" s="307"/>
      <c r="E43" s="307"/>
      <c r="F43" s="307"/>
      <c r="G43" s="307"/>
      <c r="H43" s="307"/>
      <c r="I43" s="309"/>
    </row>
    <row r="44" spans="1:9" ht="17.100000000000001" customHeight="1" x14ac:dyDescent="0.2">
      <c r="A44" s="310" t="s">
        <v>298</v>
      </c>
      <c r="B44" s="311"/>
      <c r="C44" s="311"/>
      <c r="D44" s="311"/>
      <c r="E44" s="311"/>
      <c r="F44" s="311"/>
      <c r="G44" s="311"/>
      <c r="H44" s="311"/>
      <c r="I44" s="312"/>
    </row>
    <row r="45" spans="1:9" ht="17.100000000000001" customHeight="1" x14ac:dyDescent="0.2">
      <c r="A45" s="313" t="str">
        <f>รว!A23</f>
        <v>โรงพยาบาลสามโคก  ประจำเดือน  พฤศจิกายน  2568</v>
      </c>
      <c r="B45" s="314"/>
      <c r="C45" s="314"/>
      <c r="D45" s="314"/>
      <c r="E45" s="314"/>
      <c r="F45" s="314"/>
      <c r="G45" s="314"/>
      <c r="H45" s="314"/>
      <c r="I45" s="315"/>
    </row>
    <row r="46" spans="1:9" ht="17.100000000000001" customHeight="1" x14ac:dyDescent="0.2">
      <c r="A46" s="308" t="s">
        <v>527</v>
      </c>
      <c r="B46" s="307"/>
      <c r="C46" s="307"/>
      <c r="D46" s="307"/>
      <c r="E46" s="307"/>
      <c r="F46" s="307"/>
      <c r="G46" s="307"/>
      <c r="H46" s="307"/>
      <c r="I46" s="309"/>
    </row>
    <row r="47" spans="1:9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</row>
    <row r="48" spans="1:9" ht="17.100000000000001" customHeight="1" x14ac:dyDescent="0.2">
      <c r="A48" s="149"/>
      <c r="B48" s="307" t="s">
        <v>9</v>
      </c>
      <c r="C48" s="307"/>
      <c r="D48" s="307"/>
      <c r="E48" s="147"/>
      <c r="F48" s="147"/>
      <c r="G48" s="307" t="s">
        <v>10</v>
      </c>
      <c r="H48" s="307"/>
      <c r="I48" s="152"/>
    </row>
    <row r="49" spans="1:9" ht="17.100000000000001" customHeight="1" x14ac:dyDescent="0.2">
      <c r="A49" s="149"/>
      <c r="B49" s="306" t="s">
        <v>3</v>
      </c>
      <c r="C49" s="306"/>
      <c r="D49" s="154">
        <v>0</v>
      </c>
      <c r="E49" s="154"/>
      <c r="F49" s="155"/>
      <c r="G49" s="150" t="s">
        <v>99</v>
      </c>
      <c r="H49" s="154">
        <v>0</v>
      </c>
      <c r="I49" s="169"/>
    </row>
    <row r="50" spans="1:9" ht="17.100000000000001" customHeight="1" x14ac:dyDescent="0.2">
      <c r="A50" s="149"/>
      <c r="B50" s="306" t="s">
        <v>106</v>
      </c>
      <c r="C50" s="306"/>
      <c r="D50" s="154">
        <v>0</v>
      </c>
      <c r="E50" s="154"/>
      <c r="F50" s="155"/>
      <c r="G50" s="150" t="s">
        <v>116</v>
      </c>
      <c r="H50" s="154">
        <v>0</v>
      </c>
      <c r="I50" s="169"/>
    </row>
    <row r="51" spans="1:9" ht="17.100000000000001" customHeight="1" x14ac:dyDescent="0.2">
      <c r="A51" s="149"/>
      <c r="B51" s="306" t="s">
        <v>107</v>
      </c>
      <c r="C51" s="306"/>
      <c r="D51" s="154">
        <v>0</v>
      </c>
      <c r="E51" s="154"/>
      <c r="F51" s="155"/>
      <c r="G51" s="150" t="s">
        <v>54</v>
      </c>
      <c r="H51" s="154">
        <v>0</v>
      </c>
      <c r="I51" s="169"/>
    </row>
    <row r="52" spans="1:9" ht="17.100000000000001" customHeight="1" x14ac:dyDescent="0.2">
      <c r="A52" s="149"/>
      <c r="B52" s="306" t="s">
        <v>105</v>
      </c>
      <c r="C52" s="306"/>
      <c r="D52" s="154">
        <v>0</v>
      </c>
      <c r="E52" s="154"/>
      <c r="F52" s="155"/>
      <c r="G52" s="150" t="s">
        <v>100</v>
      </c>
      <c r="H52" s="154">
        <v>0</v>
      </c>
      <c r="I52" s="169"/>
    </row>
    <row r="53" spans="1:9" ht="17.100000000000001" customHeight="1" x14ac:dyDescent="0.2">
      <c r="A53" s="149"/>
      <c r="B53" s="306" t="s">
        <v>291</v>
      </c>
      <c r="C53" s="306"/>
      <c r="D53" s="154">
        <v>0</v>
      </c>
      <c r="E53" s="154"/>
      <c r="F53" s="155"/>
      <c r="G53" s="150" t="s">
        <v>55</v>
      </c>
      <c r="H53" s="156">
        <v>0</v>
      </c>
      <c r="I53" s="169"/>
    </row>
    <row r="54" spans="1:9" ht="17.100000000000001" customHeight="1" x14ac:dyDescent="0.2">
      <c r="A54" s="149"/>
      <c r="B54" s="306" t="s">
        <v>662</v>
      </c>
      <c r="C54" s="306"/>
      <c r="D54" s="154">
        <f>ช่วย!J10</f>
        <v>0</v>
      </c>
      <c r="E54" s="154"/>
      <c r="F54" s="155"/>
      <c r="G54" s="150" t="s">
        <v>56</v>
      </c>
      <c r="H54" s="156">
        <v>0</v>
      </c>
      <c r="I54" s="169"/>
    </row>
    <row r="55" spans="1:9" ht="17.100000000000001" customHeight="1" x14ac:dyDescent="0.2">
      <c r="A55" s="149"/>
      <c r="B55" s="306" t="s">
        <v>136</v>
      </c>
      <c r="C55" s="306"/>
      <c r="D55" s="154">
        <f>ช่วย!K31</f>
        <v>0</v>
      </c>
      <c r="E55" s="154"/>
      <c r="F55" s="155"/>
      <c r="G55" s="150" t="s">
        <v>57</v>
      </c>
      <c r="H55" s="156">
        <v>0</v>
      </c>
      <c r="I55" s="169"/>
    </row>
    <row r="56" spans="1:9" ht="17.100000000000001" customHeight="1" x14ac:dyDescent="0.2">
      <c r="A56" s="149"/>
      <c r="B56" s="306" t="s">
        <v>6</v>
      </c>
      <c r="C56" s="306"/>
      <c r="D56" s="154">
        <v>0</v>
      </c>
      <c r="E56" s="154"/>
      <c r="F56" s="155"/>
      <c r="G56" s="150"/>
      <c r="H56" s="154"/>
      <c r="I56" s="169"/>
    </row>
    <row r="57" spans="1:9" ht="17.100000000000001" customHeight="1" x14ac:dyDescent="0.2">
      <c r="A57" s="149"/>
      <c r="B57" s="306" t="s">
        <v>7</v>
      </c>
      <c r="C57" s="306"/>
      <c r="D57" s="154">
        <v>0</v>
      </c>
      <c r="E57" s="154"/>
      <c r="F57" s="155"/>
      <c r="G57" s="150"/>
      <c r="H57" s="154"/>
      <c r="I57" s="169"/>
    </row>
    <row r="58" spans="1:9" ht="17.100000000000001" customHeight="1" x14ac:dyDescent="0.2">
      <c r="A58" s="149"/>
      <c r="B58" s="307" t="s">
        <v>117</v>
      </c>
      <c r="C58" s="307"/>
      <c r="D58" s="157">
        <f>SUM(D49:D57)</f>
        <v>0</v>
      </c>
      <c r="E58" s="157"/>
      <c r="F58" s="157"/>
      <c r="G58" s="147" t="s">
        <v>118</v>
      </c>
      <c r="H58" s="157">
        <f>SUM(H49:H57)</f>
        <v>0</v>
      </c>
      <c r="I58" s="169"/>
    </row>
    <row r="59" spans="1:9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</row>
    <row r="60" spans="1:9" ht="17.100000000000001" customHeight="1" x14ac:dyDescent="0.2">
      <c r="A60" s="149"/>
      <c r="B60" s="150"/>
      <c r="C60" s="307" t="str">
        <f>"("&amp;BAHTTEXT(D59)&amp;")"</f>
        <v>(ศูนย์บาทถ้วน)</v>
      </c>
      <c r="D60" s="307"/>
      <c r="E60" s="307"/>
      <c r="F60" s="307"/>
      <c r="G60" s="307"/>
      <c r="H60" s="150"/>
      <c r="I60" s="152"/>
    </row>
    <row r="61" spans="1:9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</row>
    <row r="62" spans="1:9" ht="17.100000000000001" customHeight="1" x14ac:dyDescent="0.2">
      <c r="A62" s="149"/>
      <c r="B62" s="150"/>
      <c r="C62" s="147"/>
      <c r="D62" s="147"/>
      <c r="E62" s="147"/>
      <c r="F62" s="147"/>
      <c r="G62" s="147"/>
      <c r="H62" s="150"/>
      <c r="I62" s="152"/>
    </row>
    <row r="63" spans="1:9" ht="17.100000000000001" customHeight="1" x14ac:dyDescent="0.2">
      <c r="A63" s="149"/>
      <c r="B63" s="150"/>
      <c r="C63" s="147"/>
      <c r="D63" s="147"/>
      <c r="E63" s="147"/>
      <c r="F63" s="147"/>
      <c r="G63" s="147"/>
      <c r="H63" s="150"/>
      <c r="I63" s="152"/>
    </row>
    <row r="64" spans="1:9" ht="17.100000000000001" customHeight="1" x14ac:dyDescent="0.2">
      <c r="A64" s="149"/>
      <c r="B64" s="150"/>
      <c r="C64" s="150"/>
      <c r="D64" s="150"/>
      <c r="E64" s="150"/>
      <c r="F64" s="150"/>
      <c r="G64" s="150"/>
      <c r="H64" s="150"/>
      <c r="I64" s="152"/>
    </row>
    <row r="65" spans="1:9" ht="17.100000000000001" customHeight="1" x14ac:dyDescent="0.2">
      <c r="A65" s="308" t="s">
        <v>315</v>
      </c>
      <c r="B65" s="307"/>
      <c r="C65" s="307"/>
      <c r="D65" s="307"/>
      <c r="E65" s="307"/>
      <c r="F65" s="307"/>
      <c r="G65" s="307"/>
      <c r="H65" s="307"/>
      <c r="I65" s="309"/>
    </row>
    <row r="66" spans="1:9" ht="17.100000000000001" customHeight="1" x14ac:dyDescent="0.2">
      <c r="A66" s="310" t="s">
        <v>298</v>
      </c>
      <c r="B66" s="311"/>
      <c r="C66" s="311"/>
      <c r="D66" s="311"/>
      <c r="E66" s="311"/>
      <c r="F66" s="311"/>
      <c r="G66" s="311"/>
      <c r="H66" s="311"/>
      <c r="I66" s="312"/>
    </row>
    <row r="67" spans="1:9" ht="17.100000000000001" customHeight="1" x14ac:dyDescent="0.2">
      <c r="A67" s="313" t="str">
        <f>รว!A45</f>
        <v>โรงพยาบาลสามโคก  ประจำเดือน  พฤศจิกายน  2568</v>
      </c>
      <c r="B67" s="314"/>
      <c r="C67" s="314"/>
      <c r="D67" s="314"/>
      <c r="E67" s="314"/>
      <c r="F67" s="314"/>
      <c r="G67" s="314"/>
      <c r="H67" s="314"/>
      <c r="I67" s="315"/>
    </row>
    <row r="68" spans="1:9" ht="17.100000000000001" customHeight="1" x14ac:dyDescent="0.2">
      <c r="A68" s="308" t="s">
        <v>528</v>
      </c>
      <c r="B68" s="307"/>
      <c r="C68" s="307"/>
      <c r="D68" s="307"/>
      <c r="E68" s="307"/>
      <c r="F68" s="307"/>
      <c r="G68" s="307"/>
      <c r="H68" s="307"/>
      <c r="I68" s="309"/>
    </row>
    <row r="69" spans="1:9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</row>
    <row r="70" spans="1:9" ht="17.100000000000001" customHeight="1" x14ac:dyDescent="0.2">
      <c r="A70" s="149"/>
      <c r="B70" s="307" t="s">
        <v>9</v>
      </c>
      <c r="C70" s="307"/>
      <c r="D70" s="307"/>
      <c r="E70" s="147"/>
      <c r="F70" s="147"/>
      <c r="G70" s="307" t="s">
        <v>10</v>
      </c>
      <c r="H70" s="307"/>
      <c r="I70" s="152"/>
    </row>
    <row r="71" spans="1:9" ht="17.100000000000001" customHeight="1" x14ac:dyDescent="0.2">
      <c r="A71" s="149"/>
      <c r="B71" s="306" t="s">
        <v>3</v>
      </c>
      <c r="C71" s="306"/>
      <c r="D71" s="154">
        <v>0</v>
      </c>
      <c r="E71" s="154"/>
      <c r="F71" s="155"/>
      <c r="G71" s="150" t="s">
        <v>99</v>
      </c>
      <c r="H71" s="154">
        <v>0</v>
      </c>
      <c r="I71" s="169"/>
    </row>
    <row r="72" spans="1:9" ht="17.100000000000001" customHeight="1" x14ac:dyDescent="0.2">
      <c r="A72" s="149"/>
      <c r="B72" s="306" t="s">
        <v>106</v>
      </c>
      <c r="C72" s="306"/>
      <c r="D72" s="154">
        <v>0</v>
      </c>
      <c r="E72" s="154"/>
      <c r="F72" s="155"/>
      <c r="G72" s="150" t="s">
        <v>116</v>
      </c>
      <c r="H72" s="154">
        <v>0</v>
      </c>
      <c r="I72" s="169"/>
    </row>
    <row r="73" spans="1:9" ht="17.100000000000001" customHeight="1" x14ac:dyDescent="0.2">
      <c r="A73" s="149"/>
      <c r="B73" s="306" t="s">
        <v>107</v>
      </c>
      <c r="C73" s="306"/>
      <c r="D73" s="154">
        <v>0</v>
      </c>
      <c r="E73" s="154"/>
      <c r="F73" s="155"/>
      <c r="G73" s="150" t="s">
        <v>54</v>
      </c>
      <c r="H73" s="154">
        <v>0</v>
      </c>
      <c r="I73" s="169"/>
    </row>
    <row r="74" spans="1:9" ht="17.100000000000001" customHeight="1" x14ac:dyDescent="0.2">
      <c r="A74" s="149"/>
      <c r="B74" s="306" t="s">
        <v>105</v>
      </c>
      <c r="C74" s="306"/>
      <c r="D74" s="154">
        <v>0</v>
      </c>
      <c r="E74" s="154"/>
      <c r="F74" s="155"/>
      <c r="G74" s="150" t="s">
        <v>100</v>
      </c>
      <c r="H74" s="154">
        <v>0</v>
      </c>
      <c r="I74" s="169"/>
    </row>
    <row r="75" spans="1:9" ht="17.100000000000001" customHeight="1" x14ac:dyDescent="0.2">
      <c r="A75" s="149"/>
      <c r="B75" s="306" t="s">
        <v>291</v>
      </c>
      <c r="C75" s="306"/>
      <c r="D75" s="154">
        <v>0</v>
      </c>
      <c r="E75" s="154"/>
      <c r="F75" s="155"/>
      <c r="G75" s="150" t="s">
        <v>55</v>
      </c>
      <c r="H75" s="156">
        <v>0</v>
      </c>
      <c r="I75" s="169"/>
    </row>
    <row r="76" spans="1:9" ht="17.100000000000001" customHeight="1" x14ac:dyDescent="0.2">
      <c r="A76" s="149"/>
      <c r="B76" s="306" t="s">
        <v>662</v>
      </c>
      <c r="C76" s="306"/>
      <c r="D76" s="154">
        <f>ช่วย!J11</f>
        <v>0</v>
      </c>
      <c r="E76" s="154"/>
      <c r="F76" s="155"/>
      <c r="G76" s="150" t="s">
        <v>56</v>
      </c>
      <c r="H76" s="156">
        <v>0</v>
      </c>
      <c r="I76" s="169"/>
    </row>
    <row r="77" spans="1:9" ht="17.100000000000001" customHeight="1" x14ac:dyDescent="0.2">
      <c r="A77" s="149"/>
      <c r="B77" s="306" t="s">
        <v>136</v>
      </c>
      <c r="C77" s="306"/>
      <c r="D77" s="154">
        <f>ช่วย!K53</f>
        <v>0</v>
      </c>
      <c r="E77" s="154"/>
      <c r="F77" s="155"/>
      <c r="G77" s="150" t="s">
        <v>57</v>
      </c>
      <c r="H77" s="156">
        <v>0</v>
      </c>
      <c r="I77" s="169"/>
    </row>
    <row r="78" spans="1:9" ht="17.100000000000001" customHeight="1" x14ac:dyDescent="0.2">
      <c r="A78" s="149"/>
      <c r="B78" s="306" t="s">
        <v>6</v>
      </c>
      <c r="C78" s="306"/>
      <c r="D78" s="154">
        <v>0</v>
      </c>
      <c r="E78" s="154"/>
      <c r="F78" s="155"/>
      <c r="G78" s="150"/>
      <c r="H78" s="154"/>
      <c r="I78" s="169"/>
    </row>
    <row r="79" spans="1:9" ht="17.100000000000001" customHeight="1" x14ac:dyDescent="0.2">
      <c r="A79" s="149"/>
      <c r="B79" s="306" t="s">
        <v>7</v>
      </c>
      <c r="C79" s="306"/>
      <c r="D79" s="154">
        <v>0</v>
      </c>
      <c r="E79" s="154"/>
      <c r="F79" s="155"/>
      <c r="G79" s="150"/>
      <c r="H79" s="154"/>
      <c r="I79" s="169"/>
    </row>
    <row r="80" spans="1:9" ht="17.100000000000001" customHeight="1" x14ac:dyDescent="0.2">
      <c r="A80" s="149"/>
      <c r="B80" s="307" t="s">
        <v>117</v>
      </c>
      <c r="C80" s="307"/>
      <c r="D80" s="157">
        <f>SUM(D71:D79)</f>
        <v>0</v>
      </c>
      <c r="E80" s="157"/>
      <c r="F80" s="157"/>
      <c r="G80" s="147" t="s">
        <v>118</v>
      </c>
      <c r="H80" s="157">
        <f>SUM(H71:H79)</f>
        <v>0</v>
      </c>
      <c r="I80" s="169"/>
    </row>
    <row r="81" spans="1:9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</row>
    <row r="82" spans="1:9" ht="17.100000000000001" customHeight="1" x14ac:dyDescent="0.2">
      <c r="A82" s="149"/>
      <c r="B82" s="150"/>
      <c r="C82" s="307" t="str">
        <f>"("&amp;BAHTTEXT(D81)&amp;")"</f>
        <v>(ศูนย์บาทถ้วน)</v>
      </c>
      <c r="D82" s="307"/>
      <c r="E82" s="307"/>
      <c r="F82" s="307"/>
      <c r="G82" s="307"/>
      <c r="H82" s="150"/>
      <c r="I82" s="152"/>
    </row>
    <row r="83" spans="1:9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</row>
    <row r="84" spans="1:9" ht="17.100000000000001" customHeight="1" x14ac:dyDescent="0.2">
      <c r="A84" s="149"/>
      <c r="B84" s="150"/>
      <c r="C84" s="147"/>
      <c r="D84" s="147"/>
      <c r="E84" s="147"/>
      <c r="F84" s="147"/>
      <c r="G84" s="147"/>
      <c r="H84" s="150"/>
      <c r="I84" s="152"/>
    </row>
    <row r="85" spans="1:9" ht="17.100000000000001" customHeight="1" x14ac:dyDescent="0.2">
      <c r="A85" s="149"/>
      <c r="B85" s="150"/>
      <c r="C85" s="147"/>
      <c r="D85" s="147"/>
      <c r="E85" s="147"/>
      <c r="F85" s="147"/>
      <c r="G85" s="147"/>
      <c r="H85" s="150"/>
      <c r="I85" s="152"/>
    </row>
    <row r="86" spans="1:9" ht="17.100000000000001" customHeight="1" x14ac:dyDescent="0.2">
      <c r="A86" s="149"/>
      <c r="B86" s="150"/>
      <c r="C86" s="150"/>
      <c r="D86" s="150"/>
      <c r="E86" s="150"/>
      <c r="F86" s="150"/>
      <c r="G86" s="150"/>
      <c r="H86" s="150"/>
      <c r="I86" s="152"/>
    </row>
    <row r="87" spans="1:9" ht="17.100000000000001" customHeight="1" x14ac:dyDescent="0.2">
      <c r="A87" s="308" t="s">
        <v>315</v>
      </c>
      <c r="B87" s="307"/>
      <c r="C87" s="307"/>
      <c r="D87" s="307"/>
      <c r="E87" s="307"/>
      <c r="F87" s="307"/>
      <c r="G87" s="307"/>
      <c r="H87" s="307"/>
      <c r="I87" s="309"/>
    </row>
    <row r="88" spans="1:9" ht="17.100000000000001" customHeight="1" x14ac:dyDescent="0.2">
      <c r="A88" s="310" t="s">
        <v>298</v>
      </c>
      <c r="B88" s="311"/>
      <c r="C88" s="311"/>
      <c r="D88" s="311"/>
      <c r="E88" s="311"/>
      <c r="F88" s="311"/>
      <c r="G88" s="311"/>
      <c r="H88" s="311"/>
      <c r="I88" s="312"/>
    </row>
    <row r="89" spans="1:9" ht="17.100000000000001" customHeight="1" x14ac:dyDescent="0.2">
      <c r="A89" s="313" t="str">
        <f>รว!A67</f>
        <v>โรงพยาบาลสามโคก  ประจำเดือน  พฤศจิกายน  2568</v>
      </c>
      <c r="B89" s="314"/>
      <c r="C89" s="314"/>
      <c r="D89" s="314"/>
      <c r="E89" s="314"/>
      <c r="F89" s="314"/>
      <c r="G89" s="314"/>
      <c r="H89" s="314"/>
      <c r="I89" s="315"/>
    </row>
    <row r="90" spans="1:9" ht="17.100000000000001" customHeight="1" x14ac:dyDescent="0.2">
      <c r="A90" s="308" t="s">
        <v>502</v>
      </c>
      <c r="B90" s="307"/>
      <c r="C90" s="307"/>
      <c r="D90" s="307"/>
      <c r="E90" s="307"/>
      <c r="F90" s="307"/>
      <c r="G90" s="307"/>
      <c r="H90" s="307"/>
      <c r="I90" s="309"/>
    </row>
    <row r="91" spans="1:9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</row>
    <row r="92" spans="1:9" ht="17.100000000000001" customHeight="1" x14ac:dyDescent="0.2">
      <c r="A92" s="149"/>
      <c r="B92" s="307" t="s">
        <v>9</v>
      </c>
      <c r="C92" s="307"/>
      <c r="D92" s="307"/>
      <c r="E92" s="147"/>
      <c r="F92" s="147"/>
      <c r="G92" s="307" t="s">
        <v>10</v>
      </c>
      <c r="H92" s="307"/>
      <c r="I92" s="152"/>
    </row>
    <row r="93" spans="1:9" ht="17.100000000000001" customHeight="1" x14ac:dyDescent="0.2">
      <c r="A93" s="149"/>
      <c r="B93" s="306" t="s">
        <v>3</v>
      </c>
      <c r="C93" s="306"/>
      <c r="D93" s="154">
        <v>0</v>
      </c>
      <c r="E93" s="154"/>
      <c r="F93" s="155"/>
      <c r="G93" s="150" t="s">
        <v>99</v>
      </c>
      <c r="H93" s="154">
        <v>0</v>
      </c>
      <c r="I93" s="169"/>
    </row>
    <row r="94" spans="1:9" ht="17.100000000000001" customHeight="1" x14ac:dyDescent="0.2">
      <c r="A94" s="149"/>
      <c r="B94" s="306" t="s">
        <v>106</v>
      </c>
      <c r="C94" s="306"/>
      <c r="D94" s="154">
        <v>0</v>
      </c>
      <c r="E94" s="154"/>
      <c r="F94" s="155"/>
      <c r="G94" s="150" t="s">
        <v>116</v>
      </c>
      <c r="H94" s="154">
        <v>0</v>
      </c>
      <c r="I94" s="169"/>
    </row>
    <row r="95" spans="1:9" ht="17.100000000000001" customHeight="1" x14ac:dyDescent="0.2">
      <c r="A95" s="149"/>
      <c r="B95" s="306" t="s">
        <v>107</v>
      </c>
      <c r="C95" s="306"/>
      <c r="D95" s="154">
        <v>0</v>
      </c>
      <c r="E95" s="154"/>
      <c r="F95" s="155"/>
      <c r="G95" s="150" t="s">
        <v>54</v>
      </c>
      <c r="H95" s="154">
        <v>0</v>
      </c>
      <c r="I95" s="169"/>
    </row>
    <row r="96" spans="1:9" ht="17.100000000000001" customHeight="1" x14ac:dyDescent="0.2">
      <c r="A96" s="149"/>
      <c r="B96" s="306" t="s">
        <v>105</v>
      </c>
      <c r="C96" s="306"/>
      <c r="D96" s="154">
        <v>0</v>
      </c>
      <c r="E96" s="154"/>
      <c r="F96" s="155"/>
      <c r="G96" s="150" t="s">
        <v>100</v>
      </c>
      <c r="H96" s="154">
        <v>0</v>
      </c>
      <c r="I96" s="169"/>
    </row>
    <row r="97" spans="1:9" ht="17.100000000000001" customHeight="1" x14ac:dyDescent="0.2">
      <c r="A97" s="149"/>
      <c r="B97" s="306" t="s">
        <v>291</v>
      </c>
      <c r="C97" s="306"/>
      <c r="D97" s="154">
        <v>0</v>
      </c>
      <c r="E97" s="154"/>
      <c r="F97" s="155"/>
      <c r="G97" s="150" t="s">
        <v>55</v>
      </c>
      <c r="H97" s="156">
        <v>0</v>
      </c>
      <c r="I97" s="169"/>
    </row>
    <row r="98" spans="1:9" ht="17.100000000000001" customHeight="1" x14ac:dyDescent="0.2">
      <c r="A98" s="149"/>
      <c r="B98" s="306" t="s">
        <v>662</v>
      </c>
      <c r="C98" s="306"/>
      <c r="D98" s="154">
        <f>ช่วย!J12</f>
        <v>0</v>
      </c>
      <c r="E98" s="154"/>
      <c r="F98" s="155"/>
      <c r="G98" s="150" t="s">
        <v>56</v>
      </c>
      <c r="H98" s="156">
        <v>0</v>
      </c>
      <c r="I98" s="169"/>
    </row>
    <row r="99" spans="1:9" ht="17.100000000000001" customHeight="1" x14ac:dyDescent="0.2">
      <c r="A99" s="149"/>
      <c r="B99" s="306" t="s">
        <v>136</v>
      </c>
      <c r="C99" s="306"/>
      <c r="D99" s="154">
        <f>ช่วย!K75</f>
        <v>0</v>
      </c>
      <c r="E99" s="154"/>
      <c r="F99" s="155"/>
      <c r="G99" s="150" t="s">
        <v>57</v>
      </c>
      <c r="H99" s="156">
        <v>0</v>
      </c>
      <c r="I99" s="169"/>
    </row>
    <row r="100" spans="1:9" ht="17.100000000000001" customHeight="1" x14ac:dyDescent="0.2">
      <c r="A100" s="149"/>
      <c r="B100" s="306" t="s">
        <v>6</v>
      </c>
      <c r="C100" s="306"/>
      <c r="D100" s="154">
        <v>0</v>
      </c>
      <c r="E100" s="154"/>
      <c r="F100" s="155"/>
      <c r="G100" s="150"/>
      <c r="H100" s="154"/>
      <c r="I100" s="169"/>
    </row>
    <row r="101" spans="1:9" ht="17.100000000000001" customHeight="1" x14ac:dyDescent="0.2">
      <c r="A101" s="149"/>
      <c r="B101" s="306" t="s">
        <v>7</v>
      </c>
      <c r="C101" s="306"/>
      <c r="D101" s="154">
        <v>0</v>
      </c>
      <c r="E101" s="154"/>
      <c r="F101" s="155"/>
      <c r="G101" s="150"/>
      <c r="H101" s="154"/>
      <c r="I101" s="169"/>
    </row>
    <row r="102" spans="1:9" ht="17.100000000000001" customHeight="1" x14ac:dyDescent="0.2">
      <c r="A102" s="149"/>
      <c r="B102" s="307" t="s">
        <v>117</v>
      </c>
      <c r="C102" s="307"/>
      <c r="D102" s="157">
        <f>SUM(D93:D101)</f>
        <v>0</v>
      </c>
      <c r="E102" s="157"/>
      <c r="F102" s="157"/>
      <c r="G102" s="147" t="s">
        <v>118</v>
      </c>
      <c r="H102" s="157">
        <f>SUM(H93:H101)</f>
        <v>0</v>
      </c>
      <c r="I102" s="169"/>
    </row>
    <row r="103" spans="1:9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</row>
    <row r="104" spans="1:9" ht="17.100000000000001" customHeight="1" x14ac:dyDescent="0.2">
      <c r="A104" s="149"/>
      <c r="B104" s="150"/>
      <c r="C104" s="307" t="str">
        <f>"("&amp;BAHTTEXT(D103)&amp;")"</f>
        <v>(ศูนย์บาทถ้วน)</v>
      </c>
      <c r="D104" s="307"/>
      <c r="E104" s="307"/>
      <c r="F104" s="307"/>
      <c r="G104" s="307"/>
      <c r="H104" s="150"/>
      <c r="I104" s="152"/>
    </row>
    <row r="105" spans="1:9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</row>
    <row r="106" spans="1:9" ht="17.100000000000001" customHeight="1" x14ac:dyDescent="0.2">
      <c r="A106" s="149"/>
      <c r="B106" s="150"/>
      <c r="C106" s="147"/>
      <c r="D106" s="147"/>
      <c r="E106" s="147"/>
      <c r="F106" s="147"/>
      <c r="G106" s="147"/>
      <c r="H106" s="150"/>
      <c r="I106" s="152"/>
    </row>
    <row r="107" spans="1:9" ht="17.100000000000001" customHeight="1" x14ac:dyDescent="0.2">
      <c r="A107" s="149"/>
      <c r="B107" s="150"/>
      <c r="C107" s="147"/>
      <c r="D107" s="147"/>
      <c r="E107" s="147"/>
      <c r="F107" s="147"/>
      <c r="G107" s="147"/>
      <c r="H107" s="150"/>
      <c r="I107" s="152"/>
    </row>
    <row r="108" spans="1:9" ht="17.100000000000001" customHeight="1" x14ac:dyDescent="0.2">
      <c r="A108" s="149"/>
      <c r="B108" s="150"/>
      <c r="C108" s="150"/>
      <c r="D108" s="150"/>
      <c r="E108" s="150"/>
      <c r="F108" s="150"/>
      <c r="G108" s="150"/>
      <c r="H108" s="150"/>
      <c r="I108" s="152"/>
    </row>
    <row r="109" spans="1:9" ht="17.100000000000001" customHeight="1" x14ac:dyDescent="0.2">
      <c r="A109" s="308" t="s">
        <v>315</v>
      </c>
      <c r="B109" s="307"/>
      <c r="C109" s="307"/>
      <c r="D109" s="307"/>
      <c r="E109" s="307"/>
      <c r="F109" s="307"/>
      <c r="G109" s="307"/>
      <c r="H109" s="307"/>
      <c r="I109" s="309"/>
    </row>
    <row r="110" spans="1:9" ht="17.100000000000001" customHeight="1" x14ac:dyDescent="0.2">
      <c r="A110" s="310" t="s">
        <v>298</v>
      </c>
      <c r="B110" s="311"/>
      <c r="C110" s="311"/>
      <c r="D110" s="311"/>
      <c r="E110" s="311"/>
      <c r="F110" s="311"/>
      <c r="G110" s="311"/>
      <c r="H110" s="311"/>
      <c r="I110" s="312"/>
    </row>
    <row r="111" spans="1:9" ht="17.100000000000001" customHeight="1" x14ac:dyDescent="0.2">
      <c r="A111" s="313" t="str">
        <f>รว!A89</f>
        <v>โรงพยาบาลสามโคก  ประจำเดือน  พฤศจิกายน  2568</v>
      </c>
      <c r="B111" s="314"/>
      <c r="C111" s="314"/>
      <c r="D111" s="314"/>
      <c r="E111" s="314"/>
      <c r="F111" s="314"/>
      <c r="G111" s="314"/>
      <c r="H111" s="314"/>
      <c r="I111" s="315"/>
    </row>
    <row r="112" spans="1:9" ht="17.100000000000001" customHeight="1" x14ac:dyDescent="0.2">
      <c r="A112" s="308" t="s">
        <v>514</v>
      </c>
      <c r="B112" s="307"/>
      <c r="C112" s="307"/>
      <c r="D112" s="307"/>
      <c r="E112" s="307"/>
      <c r="F112" s="307"/>
      <c r="G112" s="307"/>
      <c r="H112" s="307"/>
      <c r="I112" s="309"/>
    </row>
    <row r="113" spans="1:9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</row>
    <row r="114" spans="1:9" ht="17.100000000000001" customHeight="1" x14ac:dyDescent="0.2">
      <c r="A114" s="149"/>
      <c r="B114" s="307" t="s">
        <v>9</v>
      </c>
      <c r="C114" s="307"/>
      <c r="D114" s="307"/>
      <c r="E114" s="147"/>
      <c r="F114" s="147"/>
      <c r="G114" s="307" t="s">
        <v>10</v>
      </c>
      <c r="H114" s="307"/>
      <c r="I114" s="152"/>
    </row>
    <row r="115" spans="1:9" ht="17.100000000000001" customHeight="1" x14ac:dyDescent="0.2">
      <c r="A115" s="149"/>
      <c r="B115" s="306" t="s">
        <v>3</v>
      </c>
      <c r="C115" s="306"/>
      <c r="D115" s="154">
        <v>0</v>
      </c>
      <c r="E115" s="154"/>
      <c r="F115" s="155"/>
      <c r="G115" s="150" t="s">
        <v>99</v>
      </c>
      <c r="H115" s="154">
        <v>0</v>
      </c>
      <c r="I115" s="169"/>
    </row>
    <row r="116" spans="1:9" ht="17.100000000000001" customHeight="1" x14ac:dyDescent="0.2">
      <c r="A116" s="149"/>
      <c r="B116" s="306" t="s">
        <v>106</v>
      </c>
      <c r="C116" s="306"/>
      <c r="D116" s="154">
        <v>0</v>
      </c>
      <c r="E116" s="154"/>
      <c r="F116" s="155"/>
      <c r="G116" s="150" t="s">
        <v>116</v>
      </c>
      <c r="H116" s="154">
        <v>0</v>
      </c>
      <c r="I116" s="169"/>
    </row>
    <row r="117" spans="1:9" ht="17.100000000000001" customHeight="1" x14ac:dyDescent="0.2">
      <c r="A117" s="149"/>
      <c r="B117" s="306" t="s">
        <v>107</v>
      </c>
      <c r="C117" s="306"/>
      <c r="D117" s="154">
        <v>0</v>
      </c>
      <c r="E117" s="154"/>
      <c r="F117" s="155"/>
      <c r="G117" s="150" t="s">
        <v>54</v>
      </c>
      <c r="H117" s="154">
        <v>0</v>
      </c>
      <c r="I117" s="169"/>
    </row>
    <row r="118" spans="1:9" ht="17.100000000000001" customHeight="1" x14ac:dyDescent="0.2">
      <c r="A118" s="149"/>
      <c r="B118" s="306" t="s">
        <v>105</v>
      </c>
      <c r="C118" s="306"/>
      <c r="D118" s="154">
        <v>0</v>
      </c>
      <c r="E118" s="154"/>
      <c r="F118" s="155"/>
      <c r="G118" s="150" t="s">
        <v>100</v>
      </c>
      <c r="H118" s="154">
        <v>0</v>
      </c>
      <c r="I118" s="169"/>
    </row>
    <row r="119" spans="1:9" ht="17.100000000000001" customHeight="1" x14ac:dyDescent="0.2">
      <c r="A119" s="149"/>
      <c r="B119" s="306" t="s">
        <v>291</v>
      </c>
      <c r="C119" s="306"/>
      <c r="D119" s="154">
        <v>0</v>
      </c>
      <c r="E119" s="154"/>
      <c r="F119" s="155"/>
      <c r="G119" s="150" t="s">
        <v>55</v>
      </c>
      <c r="H119" s="156">
        <v>0</v>
      </c>
      <c r="I119" s="169"/>
    </row>
    <row r="120" spans="1:9" ht="17.100000000000001" customHeight="1" x14ac:dyDescent="0.2">
      <c r="A120" s="149"/>
      <c r="B120" s="306" t="s">
        <v>662</v>
      </c>
      <c r="C120" s="306"/>
      <c r="D120" s="154">
        <f>ช่วย!J14</f>
        <v>0</v>
      </c>
      <c r="E120" s="154"/>
      <c r="F120" s="155"/>
      <c r="G120" s="150" t="s">
        <v>56</v>
      </c>
      <c r="H120" s="156">
        <v>0</v>
      </c>
      <c r="I120" s="169"/>
    </row>
    <row r="121" spans="1:9" ht="17.100000000000001" customHeight="1" x14ac:dyDescent="0.2">
      <c r="A121" s="149"/>
      <c r="B121" s="306" t="s">
        <v>136</v>
      </c>
      <c r="C121" s="306"/>
      <c r="D121" s="154">
        <f>ช่วย!K97</f>
        <v>0</v>
      </c>
      <c r="E121" s="154"/>
      <c r="F121" s="155"/>
      <c r="G121" s="150" t="s">
        <v>57</v>
      </c>
      <c r="H121" s="156">
        <v>0</v>
      </c>
      <c r="I121" s="169"/>
    </row>
    <row r="122" spans="1:9" ht="17.100000000000001" customHeight="1" x14ac:dyDescent="0.2">
      <c r="A122" s="149"/>
      <c r="B122" s="306" t="s">
        <v>6</v>
      </c>
      <c r="C122" s="306"/>
      <c r="D122" s="154">
        <v>0</v>
      </c>
      <c r="E122" s="154"/>
      <c r="F122" s="155"/>
      <c r="G122" s="150"/>
      <c r="H122" s="154"/>
      <c r="I122" s="169"/>
    </row>
    <row r="123" spans="1:9" ht="17.100000000000001" customHeight="1" x14ac:dyDescent="0.2">
      <c r="A123" s="149"/>
      <c r="B123" s="306" t="s">
        <v>7</v>
      </c>
      <c r="C123" s="306"/>
      <c r="D123" s="154">
        <v>0</v>
      </c>
      <c r="E123" s="154"/>
      <c r="F123" s="155"/>
      <c r="G123" s="150"/>
      <c r="H123" s="154"/>
      <c r="I123" s="169"/>
    </row>
    <row r="124" spans="1:9" ht="17.100000000000001" customHeight="1" x14ac:dyDescent="0.2">
      <c r="A124" s="149"/>
      <c r="B124" s="307" t="s">
        <v>117</v>
      </c>
      <c r="C124" s="307"/>
      <c r="D124" s="157">
        <f>SUM(D115:D123)</f>
        <v>0</v>
      </c>
      <c r="E124" s="157"/>
      <c r="F124" s="157"/>
      <c r="G124" s="147" t="s">
        <v>118</v>
      </c>
      <c r="H124" s="157">
        <f>SUM(H115:H123)</f>
        <v>0</v>
      </c>
      <c r="I124" s="169"/>
    </row>
    <row r="125" spans="1:9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</row>
    <row r="126" spans="1:9" ht="17.100000000000001" customHeight="1" x14ac:dyDescent="0.2">
      <c r="A126" s="149"/>
      <c r="B126" s="150"/>
      <c r="C126" s="307" t="str">
        <f>"("&amp;BAHTTEXT(D125)&amp;")"</f>
        <v>(ศูนย์บาทถ้วน)</v>
      </c>
      <c r="D126" s="307"/>
      <c r="E126" s="307"/>
      <c r="F126" s="307"/>
      <c r="G126" s="307"/>
      <c r="H126" s="150"/>
      <c r="I126" s="152"/>
    </row>
    <row r="127" spans="1:9" ht="17.100000000000001" customHeight="1" x14ac:dyDescent="0.2">
      <c r="A127" s="149"/>
      <c r="B127" s="150"/>
      <c r="C127" s="147"/>
      <c r="D127" s="147"/>
      <c r="E127" s="147"/>
      <c r="F127" s="147"/>
      <c r="G127" s="147"/>
      <c r="H127" s="150"/>
      <c r="I127" s="152"/>
    </row>
    <row r="128" spans="1:9" ht="17.100000000000001" customHeight="1" x14ac:dyDescent="0.2">
      <c r="A128" s="149"/>
      <c r="B128" s="150"/>
      <c r="C128" s="147"/>
      <c r="D128" s="147"/>
      <c r="E128" s="147"/>
      <c r="F128" s="147"/>
      <c r="G128" s="147"/>
      <c r="H128" s="150"/>
      <c r="I128" s="152"/>
    </row>
    <row r="129" spans="1:9" ht="17.100000000000001" customHeight="1" x14ac:dyDescent="0.2">
      <c r="A129" s="149"/>
      <c r="B129" s="150"/>
      <c r="C129" s="147"/>
      <c r="D129" s="147"/>
      <c r="E129" s="147"/>
      <c r="F129" s="147"/>
      <c r="G129" s="147"/>
      <c r="H129" s="150"/>
      <c r="I129" s="152"/>
    </row>
    <row r="130" spans="1:9" ht="17.100000000000001" customHeight="1" x14ac:dyDescent="0.2">
      <c r="A130" s="149"/>
      <c r="B130" s="150"/>
      <c r="C130" s="150"/>
      <c r="D130" s="150"/>
      <c r="E130" s="150"/>
      <c r="F130" s="150"/>
      <c r="G130" s="150"/>
      <c r="H130" s="150"/>
      <c r="I130" s="152"/>
    </row>
    <row r="131" spans="1:9" ht="17.100000000000001" customHeight="1" x14ac:dyDescent="0.2">
      <c r="A131" s="308" t="s">
        <v>315</v>
      </c>
      <c r="B131" s="307"/>
      <c r="C131" s="307"/>
      <c r="D131" s="307"/>
      <c r="E131" s="307"/>
      <c r="F131" s="307"/>
      <c r="G131" s="307"/>
      <c r="H131" s="307"/>
      <c r="I131" s="309"/>
    </row>
    <row r="132" spans="1:9" ht="17.100000000000001" customHeight="1" x14ac:dyDescent="0.2">
      <c r="A132" s="310" t="s">
        <v>298</v>
      </c>
      <c r="B132" s="311"/>
      <c r="C132" s="311"/>
      <c r="D132" s="311"/>
      <c r="E132" s="311"/>
      <c r="F132" s="311"/>
      <c r="G132" s="311"/>
      <c r="H132" s="311"/>
      <c r="I132" s="312"/>
    </row>
    <row r="133" spans="1:9" ht="17.100000000000001" customHeight="1" x14ac:dyDescent="0.2">
      <c r="A133" s="313" t="str">
        <f>รว!A89</f>
        <v>โรงพยาบาลสามโคก  ประจำเดือน  พฤศจิกายน  2568</v>
      </c>
      <c r="B133" s="314"/>
      <c r="C133" s="314"/>
      <c r="D133" s="314"/>
      <c r="E133" s="314"/>
      <c r="F133" s="314"/>
      <c r="G133" s="314"/>
      <c r="H133" s="314"/>
      <c r="I133" s="315"/>
    </row>
    <row r="134" spans="1:9" ht="17.100000000000001" customHeight="1" x14ac:dyDescent="0.2">
      <c r="A134" s="308" t="s">
        <v>489</v>
      </c>
      <c r="B134" s="307"/>
      <c r="C134" s="307"/>
      <c r="D134" s="307"/>
      <c r="E134" s="307"/>
      <c r="F134" s="307"/>
      <c r="G134" s="307"/>
      <c r="H134" s="307"/>
      <c r="I134" s="309"/>
    </row>
    <row r="135" spans="1:9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</row>
    <row r="136" spans="1:9" ht="17.100000000000001" customHeight="1" x14ac:dyDescent="0.2">
      <c r="A136" s="149"/>
      <c r="B136" s="307" t="s">
        <v>9</v>
      </c>
      <c r="C136" s="307"/>
      <c r="D136" s="307"/>
      <c r="E136" s="147"/>
      <c r="F136" s="147"/>
      <c r="G136" s="307" t="s">
        <v>10</v>
      </c>
      <c r="H136" s="307"/>
      <c r="I136" s="152"/>
    </row>
    <row r="137" spans="1:9" ht="17.100000000000001" customHeight="1" x14ac:dyDescent="0.2">
      <c r="A137" s="149"/>
      <c r="B137" s="306" t="s">
        <v>3</v>
      </c>
      <c r="C137" s="306"/>
      <c r="D137" s="154">
        <v>0</v>
      </c>
      <c r="E137" s="154"/>
      <c r="F137" s="155"/>
      <c r="G137" s="150" t="s">
        <v>99</v>
      </c>
      <c r="H137" s="154">
        <v>0</v>
      </c>
      <c r="I137" s="169"/>
    </row>
    <row r="138" spans="1:9" ht="17.100000000000001" customHeight="1" x14ac:dyDescent="0.2">
      <c r="A138" s="149"/>
      <c r="B138" s="306" t="s">
        <v>106</v>
      </c>
      <c r="C138" s="306"/>
      <c r="D138" s="154">
        <v>0</v>
      </c>
      <c r="E138" s="154"/>
      <c r="F138" s="155"/>
      <c r="G138" s="150" t="s">
        <v>116</v>
      </c>
      <c r="H138" s="154">
        <v>0</v>
      </c>
      <c r="I138" s="169"/>
    </row>
    <row r="139" spans="1:9" ht="17.100000000000001" customHeight="1" x14ac:dyDescent="0.2">
      <c r="A139" s="149"/>
      <c r="B139" s="306" t="s">
        <v>107</v>
      </c>
      <c r="C139" s="306"/>
      <c r="D139" s="154">
        <v>0</v>
      </c>
      <c r="E139" s="154"/>
      <c r="F139" s="155"/>
      <c r="G139" s="150" t="s">
        <v>54</v>
      </c>
      <c r="H139" s="154">
        <v>0</v>
      </c>
      <c r="I139" s="169"/>
    </row>
    <row r="140" spans="1:9" ht="17.100000000000001" customHeight="1" x14ac:dyDescent="0.2">
      <c r="A140" s="149"/>
      <c r="B140" s="306" t="s">
        <v>130</v>
      </c>
      <c r="C140" s="306"/>
      <c r="D140" s="154">
        <f>ช่วย!H13</f>
        <v>0</v>
      </c>
      <c r="E140" s="154"/>
      <c r="F140" s="155"/>
      <c r="G140" s="150" t="s">
        <v>100</v>
      </c>
      <c r="H140" s="154">
        <v>0</v>
      </c>
      <c r="I140" s="169"/>
    </row>
    <row r="141" spans="1:9" ht="17.100000000000001" customHeight="1" x14ac:dyDescent="0.2">
      <c r="A141" s="149"/>
      <c r="B141" s="306" t="s">
        <v>291</v>
      </c>
      <c r="C141" s="306"/>
      <c r="D141" s="154">
        <v>0</v>
      </c>
      <c r="E141" s="154"/>
      <c r="F141" s="155"/>
      <c r="G141" s="150" t="s">
        <v>55</v>
      </c>
      <c r="H141" s="156">
        <v>0</v>
      </c>
      <c r="I141" s="169"/>
    </row>
    <row r="142" spans="1:9" ht="17.100000000000001" customHeight="1" x14ac:dyDescent="0.2">
      <c r="A142" s="149"/>
      <c r="B142" s="306" t="s">
        <v>662</v>
      </c>
      <c r="C142" s="306"/>
      <c r="D142" s="154">
        <f>ช่วย!J15</f>
        <v>0</v>
      </c>
      <c r="E142" s="154"/>
      <c r="F142" s="155"/>
      <c r="G142" s="150" t="s">
        <v>56</v>
      </c>
      <c r="H142" s="156">
        <v>0</v>
      </c>
      <c r="I142" s="169"/>
    </row>
    <row r="143" spans="1:9" ht="17.100000000000001" customHeight="1" x14ac:dyDescent="0.2">
      <c r="A143" s="149"/>
      <c r="B143" s="306" t="s">
        <v>136</v>
      </c>
      <c r="C143" s="306"/>
      <c r="D143" s="154">
        <f>ช่วย!K97</f>
        <v>0</v>
      </c>
      <c r="E143" s="154"/>
      <c r="F143" s="155"/>
      <c r="G143" s="150" t="s">
        <v>57</v>
      </c>
      <c r="H143" s="156">
        <v>0</v>
      </c>
      <c r="I143" s="169"/>
    </row>
    <row r="144" spans="1:9" ht="17.100000000000001" customHeight="1" x14ac:dyDescent="0.2">
      <c r="A144" s="149"/>
      <c r="B144" s="306" t="s">
        <v>6</v>
      </c>
      <c r="C144" s="306"/>
      <c r="D144" s="154">
        <v>0</v>
      </c>
      <c r="E144" s="154"/>
      <c r="F144" s="155"/>
      <c r="G144" s="150"/>
      <c r="H144" s="154"/>
      <c r="I144" s="169"/>
    </row>
    <row r="145" spans="1:9" ht="17.100000000000001" customHeight="1" x14ac:dyDescent="0.2">
      <c r="A145" s="149"/>
      <c r="B145" s="306" t="s">
        <v>7</v>
      </c>
      <c r="C145" s="306"/>
      <c r="D145" s="154">
        <v>0</v>
      </c>
      <c r="E145" s="154"/>
      <c r="F145" s="155"/>
      <c r="G145" s="150"/>
      <c r="H145" s="154"/>
      <c r="I145" s="169"/>
    </row>
    <row r="146" spans="1:9" ht="17.100000000000001" customHeight="1" x14ac:dyDescent="0.2">
      <c r="A146" s="149"/>
      <c r="B146" s="307" t="s">
        <v>117</v>
      </c>
      <c r="C146" s="307"/>
      <c r="D146" s="157">
        <f>SUM(D137:D145)</f>
        <v>0</v>
      </c>
      <c r="E146" s="157"/>
      <c r="F146" s="157"/>
      <c r="G146" s="147" t="s">
        <v>118</v>
      </c>
      <c r="H146" s="157">
        <f>SUM(H137:H145)</f>
        <v>0</v>
      </c>
      <c r="I146" s="169"/>
    </row>
    <row r="147" spans="1:9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</row>
    <row r="148" spans="1:9" ht="17.100000000000001" customHeight="1" x14ac:dyDescent="0.2">
      <c r="A148" s="149"/>
      <c r="B148" s="150"/>
      <c r="C148" s="307" t="str">
        <f>"("&amp;BAHTTEXT(D147)&amp;")"</f>
        <v>(ศูนย์บาทถ้วน)</v>
      </c>
      <c r="D148" s="307"/>
      <c r="E148" s="307"/>
      <c r="F148" s="307"/>
      <c r="G148" s="307"/>
      <c r="H148" s="150"/>
      <c r="I148" s="152"/>
    </row>
    <row r="149" spans="1:9" ht="17.100000000000001" customHeight="1" x14ac:dyDescent="0.2">
      <c r="A149" s="149"/>
      <c r="B149" s="150"/>
      <c r="C149" s="147"/>
      <c r="D149" s="147"/>
      <c r="E149" s="147"/>
      <c r="F149" s="147"/>
      <c r="G149" s="147"/>
      <c r="H149" s="150"/>
      <c r="I149" s="152"/>
    </row>
    <row r="150" spans="1:9" ht="17.100000000000001" customHeight="1" x14ac:dyDescent="0.2">
      <c r="A150" s="149"/>
      <c r="B150" s="150"/>
      <c r="C150" s="147"/>
      <c r="D150" s="147"/>
      <c r="E150" s="147"/>
      <c r="F150" s="147"/>
      <c r="G150" s="147"/>
      <c r="H150" s="150"/>
      <c r="I150" s="152"/>
    </row>
    <row r="151" spans="1:9" ht="17.100000000000001" customHeight="1" x14ac:dyDescent="0.2">
      <c r="A151" s="149"/>
      <c r="B151" s="150"/>
      <c r="C151" s="147"/>
      <c r="D151" s="147"/>
      <c r="E151" s="147"/>
      <c r="F151" s="147"/>
      <c r="G151" s="147"/>
      <c r="H151" s="150"/>
      <c r="I151" s="152"/>
    </row>
    <row r="152" spans="1:9" ht="17.100000000000001" customHeight="1" x14ac:dyDescent="0.2">
      <c r="A152" s="149"/>
      <c r="B152" s="150"/>
      <c r="C152" s="150"/>
      <c r="D152" s="150"/>
      <c r="E152" s="150"/>
      <c r="F152" s="150"/>
      <c r="G152" s="150"/>
      <c r="H152" s="150"/>
      <c r="I152" s="152"/>
    </row>
    <row r="153" spans="1:9" ht="17.100000000000001" customHeight="1" x14ac:dyDescent="0.2">
      <c r="A153" s="308" t="s">
        <v>315</v>
      </c>
      <c r="B153" s="307"/>
      <c r="C153" s="307"/>
      <c r="D153" s="307"/>
      <c r="E153" s="307"/>
      <c r="F153" s="307"/>
      <c r="G153" s="307"/>
      <c r="H153" s="307"/>
      <c r="I153" s="309"/>
    </row>
    <row r="154" spans="1:9" ht="17.100000000000001" customHeight="1" x14ac:dyDescent="0.2">
      <c r="A154" s="310" t="s">
        <v>298</v>
      </c>
      <c r="B154" s="311"/>
      <c r="C154" s="311"/>
      <c r="D154" s="311"/>
      <c r="E154" s="311"/>
      <c r="F154" s="311"/>
      <c r="G154" s="311"/>
      <c r="H154" s="311"/>
      <c r="I154" s="312"/>
    </row>
    <row r="155" spans="1:9" ht="17.100000000000001" customHeight="1" x14ac:dyDescent="0.2">
      <c r="A155" s="313" t="str">
        <f>รว!A133</f>
        <v>โรงพยาบาลสามโคก  ประจำเดือน  พฤศจิกายน  2568</v>
      </c>
      <c r="B155" s="314"/>
      <c r="C155" s="314"/>
      <c r="D155" s="314"/>
      <c r="E155" s="314"/>
      <c r="F155" s="314"/>
      <c r="G155" s="314"/>
      <c r="H155" s="314"/>
      <c r="I155" s="315"/>
    </row>
    <row r="156" spans="1:9" ht="17.100000000000001" customHeight="1" x14ac:dyDescent="0.2">
      <c r="A156" s="308" t="s">
        <v>671</v>
      </c>
      <c r="B156" s="307"/>
      <c r="C156" s="307"/>
      <c r="D156" s="307"/>
      <c r="E156" s="307"/>
      <c r="F156" s="307"/>
      <c r="G156" s="307"/>
      <c r="H156" s="307"/>
      <c r="I156" s="309"/>
    </row>
    <row r="157" spans="1:9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</row>
    <row r="158" spans="1:9" ht="17.100000000000001" customHeight="1" x14ac:dyDescent="0.2">
      <c r="A158" s="149"/>
      <c r="B158" s="307" t="s">
        <v>9</v>
      </c>
      <c r="C158" s="307"/>
      <c r="D158" s="307"/>
      <c r="E158" s="147"/>
      <c r="F158" s="147"/>
      <c r="G158" s="307" t="s">
        <v>10</v>
      </c>
      <c r="H158" s="307"/>
      <c r="I158" s="152"/>
    </row>
    <row r="159" spans="1:9" ht="17.100000000000001" customHeight="1" x14ac:dyDescent="0.2">
      <c r="A159" s="149"/>
      <c r="B159" s="306" t="s">
        <v>3</v>
      </c>
      <c r="C159" s="306"/>
      <c r="D159" s="154">
        <v>0</v>
      </c>
      <c r="E159" s="154"/>
      <c r="F159" s="155"/>
      <c r="G159" s="150" t="s">
        <v>99</v>
      </c>
      <c r="H159" s="154">
        <v>0</v>
      </c>
      <c r="I159" s="169"/>
    </row>
    <row r="160" spans="1:9" ht="17.100000000000001" customHeight="1" x14ac:dyDescent="0.2">
      <c r="A160" s="149"/>
      <c r="B160" s="306" t="s">
        <v>106</v>
      </c>
      <c r="C160" s="306"/>
      <c r="D160" s="154">
        <v>0</v>
      </c>
      <c r="E160" s="154"/>
      <c r="F160" s="155"/>
      <c r="G160" s="150" t="s">
        <v>116</v>
      </c>
      <c r="H160" s="154">
        <v>0</v>
      </c>
      <c r="I160" s="169"/>
    </row>
    <row r="161" spans="1:9" ht="17.100000000000001" customHeight="1" x14ac:dyDescent="0.2">
      <c r="A161" s="149"/>
      <c r="B161" s="306" t="s">
        <v>107</v>
      </c>
      <c r="C161" s="306"/>
      <c r="D161" s="154">
        <v>0</v>
      </c>
      <c r="E161" s="154"/>
      <c r="F161" s="155"/>
      <c r="G161" s="150" t="s">
        <v>54</v>
      </c>
      <c r="H161" s="154">
        <v>0</v>
      </c>
      <c r="I161" s="169"/>
    </row>
    <row r="162" spans="1:9" ht="17.100000000000001" customHeight="1" x14ac:dyDescent="0.2">
      <c r="A162" s="149"/>
      <c r="B162" s="306" t="s">
        <v>105</v>
      </c>
      <c r="C162" s="306"/>
      <c r="D162" s="154">
        <v>0</v>
      </c>
      <c r="E162" s="154"/>
      <c r="F162" s="155"/>
      <c r="G162" s="150" t="s">
        <v>100</v>
      </c>
      <c r="H162" s="154">
        <v>0</v>
      </c>
      <c r="I162" s="169"/>
    </row>
    <row r="163" spans="1:9" ht="17.100000000000001" customHeight="1" x14ac:dyDescent="0.2">
      <c r="A163" s="149"/>
      <c r="B163" s="306" t="s">
        <v>291</v>
      </c>
      <c r="C163" s="306"/>
      <c r="D163" s="154">
        <v>0</v>
      </c>
      <c r="E163" s="154"/>
      <c r="F163" s="155"/>
      <c r="G163" s="150" t="s">
        <v>55</v>
      </c>
      <c r="H163" s="156">
        <v>0</v>
      </c>
      <c r="I163" s="169"/>
    </row>
    <row r="164" spans="1:9" ht="17.100000000000001" customHeight="1" x14ac:dyDescent="0.2">
      <c r="A164" s="149"/>
      <c r="B164" s="306" t="s">
        <v>662</v>
      </c>
      <c r="C164" s="306"/>
      <c r="D164" s="154">
        <f>ช่วย!J13</f>
        <v>0</v>
      </c>
      <c r="E164" s="154"/>
      <c r="F164" s="155"/>
      <c r="G164" s="150" t="s">
        <v>56</v>
      </c>
      <c r="H164" s="156">
        <v>0</v>
      </c>
      <c r="I164" s="169"/>
    </row>
    <row r="165" spans="1:9" ht="17.100000000000001" customHeight="1" x14ac:dyDescent="0.2">
      <c r="A165" s="149"/>
      <c r="B165" s="306" t="s">
        <v>136</v>
      </c>
      <c r="C165" s="306"/>
      <c r="D165" s="154">
        <f>ช่วย!K141</f>
        <v>0</v>
      </c>
      <c r="E165" s="154"/>
      <c r="F165" s="155"/>
      <c r="G165" s="150" t="s">
        <v>57</v>
      </c>
      <c r="H165" s="156">
        <v>0</v>
      </c>
      <c r="I165" s="169"/>
    </row>
    <row r="166" spans="1:9" ht="17.100000000000001" customHeight="1" x14ac:dyDescent="0.2">
      <c r="A166" s="149"/>
      <c r="B166" s="306" t="s">
        <v>6</v>
      </c>
      <c r="C166" s="306"/>
      <c r="D166" s="154">
        <v>0</v>
      </c>
      <c r="E166" s="154"/>
      <c r="F166" s="155"/>
      <c r="G166" s="150"/>
      <c r="H166" s="154"/>
      <c r="I166" s="169"/>
    </row>
    <row r="167" spans="1:9" ht="17.100000000000001" customHeight="1" x14ac:dyDescent="0.2">
      <c r="A167" s="149"/>
      <c r="B167" s="306" t="s">
        <v>7</v>
      </c>
      <c r="C167" s="306"/>
      <c r="D167" s="154">
        <v>0</v>
      </c>
      <c r="E167" s="154"/>
      <c r="F167" s="155"/>
      <c r="G167" s="150"/>
      <c r="H167" s="154"/>
      <c r="I167" s="169"/>
    </row>
    <row r="168" spans="1:9" ht="17.100000000000001" customHeight="1" x14ac:dyDescent="0.2">
      <c r="A168" s="149"/>
      <c r="B168" s="307" t="s">
        <v>117</v>
      </c>
      <c r="C168" s="307"/>
      <c r="D168" s="157">
        <f>SUM(D159:D167)</f>
        <v>0</v>
      </c>
      <c r="E168" s="157"/>
      <c r="F168" s="157"/>
      <c r="G168" s="147" t="s">
        <v>118</v>
      </c>
      <c r="H168" s="157">
        <f>SUM(H159:H167)</f>
        <v>0</v>
      </c>
      <c r="I168" s="169"/>
    </row>
    <row r="169" spans="1:9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</row>
    <row r="170" spans="1:9" ht="17.100000000000001" customHeight="1" x14ac:dyDescent="0.2">
      <c r="A170" s="149"/>
      <c r="B170" s="150"/>
      <c r="C170" s="307" t="str">
        <f>"("&amp;BAHTTEXT(D169)&amp;")"</f>
        <v>(ศูนย์บาทถ้วน)</v>
      </c>
      <c r="D170" s="307"/>
      <c r="E170" s="307"/>
      <c r="F170" s="307"/>
      <c r="G170" s="307"/>
      <c r="H170" s="150"/>
      <c r="I170" s="152"/>
    </row>
    <row r="171" spans="1:9" ht="17.100000000000001" customHeight="1" x14ac:dyDescent="0.2">
      <c r="A171" s="149"/>
      <c r="B171" s="150"/>
      <c r="C171" s="147"/>
      <c r="D171" s="147"/>
      <c r="E171" s="147"/>
      <c r="F171" s="147"/>
      <c r="G171" s="147"/>
      <c r="H171" s="150"/>
      <c r="I171" s="152"/>
    </row>
    <row r="172" spans="1:9" ht="17.100000000000001" customHeight="1" x14ac:dyDescent="0.2">
      <c r="A172" s="149"/>
      <c r="B172" s="150"/>
      <c r="C172" s="147"/>
      <c r="D172" s="147"/>
      <c r="E172" s="147"/>
      <c r="F172" s="147"/>
      <c r="G172" s="147"/>
      <c r="H172" s="150"/>
      <c r="I172" s="152"/>
    </row>
    <row r="173" spans="1:9" ht="17.100000000000001" customHeight="1" x14ac:dyDescent="0.2">
      <c r="A173" s="149"/>
      <c r="B173" s="150"/>
      <c r="C173" s="147"/>
      <c r="D173" s="147"/>
      <c r="E173" s="147"/>
      <c r="F173" s="147"/>
      <c r="G173" s="147"/>
      <c r="H173" s="150"/>
      <c r="I173" s="152"/>
    </row>
    <row r="174" spans="1:9" ht="17.100000000000001" customHeight="1" x14ac:dyDescent="0.2">
      <c r="A174" s="149"/>
      <c r="B174" s="150"/>
      <c r="C174" s="150"/>
      <c r="D174" s="150"/>
      <c r="E174" s="150"/>
      <c r="F174" s="150"/>
      <c r="G174" s="150"/>
      <c r="H174" s="150"/>
      <c r="I174" s="152"/>
    </row>
    <row r="175" spans="1:9" ht="17.100000000000001" customHeight="1" x14ac:dyDescent="0.2">
      <c r="A175" s="308" t="s">
        <v>315</v>
      </c>
      <c r="B175" s="307"/>
      <c r="C175" s="307"/>
      <c r="D175" s="307"/>
      <c r="E175" s="307"/>
      <c r="F175" s="307"/>
      <c r="G175" s="307"/>
      <c r="H175" s="307"/>
      <c r="I175" s="309"/>
    </row>
    <row r="176" spans="1:9" ht="17.100000000000001" customHeight="1" x14ac:dyDescent="0.2">
      <c r="A176" s="310" t="s">
        <v>298</v>
      </c>
      <c r="B176" s="311"/>
      <c r="C176" s="311"/>
      <c r="D176" s="311"/>
      <c r="E176" s="311"/>
      <c r="F176" s="311"/>
      <c r="G176" s="311"/>
      <c r="H176" s="311"/>
      <c r="I176" s="312"/>
    </row>
    <row r="177" spans="1:9" ht="17.100000000000001" customHeight="1" x14ac:dyDescent="0.2">
      <c r="A177" s="313" t="str">
        <f>รว!A155</f>
        <v>โรงพยาบาลสามโคก  ประจำเดือน  พฤศจิกายน  2568</v>
      </c>
      <c r="B177" s="314"/>
      <c r="C177" s="314"/>
      <c r="D177" s="314"/>
      <c r="E177" s="314"/>
      <c r="F177" s="314"/>
      <c r="G177" s="314"/>
      <c r="H177" s="314"/>
      <c r="I177" s="315"/>
    </row>
    <row r="178" spans="1:9" ht="17.100000000000001" customHeight="1" x14ac:dyDescent="0.2">
      <c r="A178" s="308" t="s">
        <v>520</v>
      </c>
      <c r="B178" s="307"/>
      <c r="C178" s="307"/>
      <c r="D178" s="307"/>
      <c r="E178" s="307"/>
      <c r="F178" s="307"/>
      <c r="G178" s="307"/>
      <c r="H178" s="307"/>
      <c r="I178" s="309"/>
    </row>
    <row r="179" spans="1:9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</row>
    <row r="180" spans="1:9" ht="17.100000000000001" customHeight="1" x14ac:dyDescent="0.2">
      <c r="A180" s="149"/>
      <c r="B180" s="307" t="s">
        <v>9</v>
      </c>
      <c r="C180" s="307"/>
      <c r="D180" s="307"/>
      <c r="E180" s="147"/>
      <c r="F180" s="147"/>
      <c r="G180" s="307" t="s">
        <v>10</v>
      </c>
      <c r="H180" s="307"/>
      <c r="I180" s="152"/>
    </row>
    <row r="181" spans="1:9" ht="17.100000000000001" customHeight="1" x14ac:dyDescent="0.2">
      <c r="A181" s="149"/>
      <c r="B181" s="306" t="s">
        <v>3</v>
      </c>
      <c r="C181" s="306"/>
      <c r="D181" s="154">
        <v>0</v>
      </c>
      <c r="E181" s="154"/>
      <c r="F181" s="155"/>
      <c r="G181" s="150" t="s">
        <v>99</v>
      </c>
      <c r="H181" s="154">
        <v>0</v>
      </c>
      <c r="I181" s="169"/>
    </row>
    <row r="182" spans="1:9" ht="17.100000000000001" customHeight="1" x14ac:dyDescent="0.2">
      <c r="A182" s="149"/>
      <c r="B182" s="306" t="s">
        <v>106</v>
      </c>
      <c r="C182" s="306"/>
      <c r="D182" s="154">
        <v>0</v>
      </c>
      <c r="E182" s="154"/>
      <c r="F182" s="155"/>
      <c r="G182" s="150" t="s">
        <v>116</v>
      </c>
      <c r="H182" s="154">
        <v>0</v>
      </c>
      <c r="I182" s="169"/>
    </row>
    <row r="183" spans="1:9" ht="17.100000000000001" customHeight="1" x14ac:dyDescent="0.2">
      <c r="A183" s="149"/>
      <c r="B183" s="306" t="s">
        <v>107</v>
      </c>
      <c r="C183" s="306"/>
      <c r="D183" s="154">
        <v>0</v>
      </c>
      <c r="E183" s="154"/>
      <c r="F183" s="155"/>
      <c r="G183" s="150" t="s">
        <v>54</v>
      </c>
      <c r="H183" s="154">
        <v>0</v>
      </c>
      <c r="I183" s="169"/>
    </row>
    <row r="184" spans="1:9" ht="17.100000000000001" customHeight="1" x14ac:dyDescent="0.2">
      <c r="A184" s="149"/>
      <c r="B184" s="306" t="s">
        <v>105</v>
      </c>
      <c r="C184" s="306"/>
      <c r="D184" s="154">
        <v>0</v>
      </c>
      <c r="E184" s="154"/>
      <c r="F184" s="155"/>
      <c r="G184" s="150" t="s">
        <v>100</v>
      </c>
      <c r="H184" s="154">
        <v>0</v>
      </c>
      <c r="I184" s="169"/>
    </row>
    <row r="185" spans="1:9" ht="17.100000000000001" customHeight="1" x14ac:dyDescent="0.2">
      <c r="A185" s="149"/>
      <c r="B185" s="306" t="s">
        <v>291</v>
      </c>
      <c r="C185" s="306"/>
      <c r="D185" s="154">
        <v>0</v>
      </c>
      <c r="E185" s="154"/>
      <c r="F185" s="155"/>
      <c r="G185" s="150" t="s">
        <v>55</v>
      </c>
      <c r="H185" s="156">
        <v>0</v>
      </c>
      <c r="I185" s="169"/>
    </row>
    <row r="186" spans="1:9" ht="17.100000000000001" customHeight="1" x14ac:dyDescent="0.2">
      <c r="A186" s="149"/>
      <c r="B186" s="306" t="s">
        <v>662</v>
      </c>
      <c r="C186" s="306"/>
      <c r="D186" s="154">
        <f>ช่วย!J23</f>
        <v>0</v>
      </c>
      <c r="E186" s="154"/>
      <c r="F186" s="155"/>
      <c r="G186" s="150" t="s">
        <v>56</v>
      </c>
      <c r="H186" s="156">
        <v>0</v>
      </c>
      <c r="I186" s="169"/>
    </row>
    <row r="187" spans="1:9" ht="17.100000000000001" customHeight="1" x14ac:dyDescent="0.2">
      <c r="A187" s="149"/>
      <c r="B187" s="306" t="s">
        <v>136</v>
      </c>
      <c r="C187" s="306"/>
      <c r="D187" s="154">
        <f>ช่วย!K163</f>
        <v>0</v>
      </c>
      <c r="E187" s="154"/>
      <c r="F187" s="155"/>
      <c r="G187" s="150" t="s">
        <v>57</v>
      </c>
      <c r="H187" s="156">
        <v>0</v>
      </c>
      <c r="I187" s="169"/>
    </row>
    <row r="188" spans="1:9" ht="17.100000000000001" customHeight="1" x14ac:dyDescent="0.2">
      <c r="A188" s="149"/>
      <c r="B188" s="306" t="s">
        <v>6</v>
      </c>
      <c r="C188" s="306"/>
      <c r="D188" s="154">
        <v>0</v>
      </c>
      <c r="E188" s="154"/>
      <c r="F188" s="155"/>
      <c r="G188" s="150"/>
      <c r="H188" s="154"/>
      <c r="I188" s="169"/>
    </row>
    <row r="189" spans="1:9" ht="17.100000000000001" customHeight="1" x14ac:dyDescent="0.2">
      <c r="A189" s="149"/>
      <c r="B189" s="306" t="s">
        <v>7</v>
      </c>
      <c r="C189" s="306"/>
      <c r="D189" s="154">
        <v>0</v>
      </c>
      <c r="E189" s="154"/>
      <c r="F189" s="155"/>
      <c r="G189" s="150"/>
      <c r="H189" s="154"/>
      <c r="I189" s="169"/>
    </row>
    <row r="190" spans="1:9" ht="17.100000000000001" customHeight="1" x14ac:dyDescent="0.2">
      <c r="A190" s="149"/>
      <c r="B190" s="307" t="s">
        <v>117</v>
      </c>
      <c r="C190" s="307"/>
      <c r="D190" s="157">
        <f>SUM(D181:D189)</f>
        <v>0</v>
      </c>
      <c r="E190" s="157"/>
      <c r="F190" s="157"/>
      <c r="G190" s="147" t="s">
        <v>118</v>
      </c>
      <c r="H190" s="157">
        <f>SUM(H181:H189)</f>
        <v>0</v>
      </c>
      <c r="I190" s="169"/>
    </row>
    <row r="191" spans="1:9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</row>
    <row r="192" spans="1:9" ht="17.100000000000001" customHeight="1" x14ac:dyDescent="0.2">
      <c r="A192" s="149"/>
      <c r="B192" s="150"/>
      <c r="C192" s="307" t="str">
        <f>"("&amp;BAHTTEXT(D191)&amp;")"</f>
        <v>(ศูนย์บาทถ้วน)</v>
      </c>
      <c r="D192" s="307"/>
      <c r="E192" s="307"/>
      <c r="F192" s="307"/>
      <c r="G192" s="307"/>
      <c r="H192" s="150"/>
      <c r="I192" s="152"/>
    </row>
    <row r="193" spans="1:9" ht="17.100000000000001" customHeight="1" x14ac:dyDescent="0.2">
      <c r="A193" s="149"/>
      <c r="B193" s="150"/>
      <c r="C193" s="147"/>
      <c r="D193" s="147"/>
      <c r="E193" s="147"/>
      <c r="F193" s="147"/>
      <c r="G193" s="147"/>
      <c r="H193" s="150"/>
      <c r="I193" s="152"/>
    </row>
    <row r="194" spans="1:9" ht="17.100000000000001" customHeight="1" x14ac:dyDescent="0.2">
      <c r="A194" s="149"/>
      <c r="B194" s="150"/>
      <c r="C194" s="147"/>
      <c r="D194" s="147"/>
      <c r="E194" s="147"/>
      <c r="F194" s="147"/>
      <c r="G194" s="147"/>
      <c r="H194" s="150"/>
      <c r="I194" s="152"/>
    </row>
    <row r="195" spans="1:9" ht="17.100000000000001" customHeight="1" x14ac:dyDescent="0.2">
      <c r="A195" s="149"/>
      <c r="B195" s="150"/>
      <c r="C195" s="147"/>
      <c r="D195" s="147"/>
      <c r="E195" s="147"/>
      <c r="F195" s="147"/>
      <c r="G195" s="147"/>
      <c r="H195" s="150"/>
      <c r="I195" s="152"/>
    </row>
    <row r="196" spans="1:9" ht="17.100000000000001" customHeight="1" x14ac:dyDescent="0.2">
      <c r="A196" s="149"/>
      <c r="B196" s="150"/>
      <c r="C196" s="150"/>
      <c r="D196" s="150"/>
      <c r="E196" s="150"/>
      <c r="F196" s="150"/>
      <c r="G196" s="150"/>
      <c r="H196" s="150"/>
      <c r="I196" s="152"/>
    </row>
    <row r="197" spans="1:9" ht="17.100000000000001" customHeight="1" x14ac:dyDescent="0.2">
      <c r="A197" s="308" t="s">
        <v>315</v>
      </c>
      <c r="B197" s="307"/>
      <c r="C197" s="307"/>
      <c r="D197" s="307"/>
      <c r="E197" s="307"/>
      <c r="F197" s="307"/>
      <c r="G197" s="307"/>
      <c r="H197" s="307"/>
      <c r="I197" s="309"/>
    </row>
    <row r="198" spans="1:9" ht="17.100000000000001" customHeight="1" x14ac:dyDescent="0.2">
      <c r="A198" s="310" t="s">
        <v>298</v>
      </c>
      <c r="B198" s="311"/>
      <c r="C198" s="311"/>
      <c r="D198" s="311"/>
      <c r="E198" s="311"/>
      <c r="F198" s="311"/>
      <c r="G198" s="311"/>
      <c r="H198" s="311"/>
      <c r="I198" s="312"/>
    </row>
    <row r="199" spans="1:9" ht="17.100000000000001" customHeight="1" x14ac:dyDescent="0.2">
      <c r="A199" s="313" t="str">
        <f>รว!A177</f>
        <v>โรงพยาบาลสามโคก  ประจำเดือน  พฤศจิกายน  2568</v>
      </c>
      <c r="B199" s="314"/>
      <c r="C199" s="314"/>
      <c r="D199" s="314"/>
      <c r="E199" s="314"/>
      <c r="F199" s="314"/>
      <c r="G199" s="314"/>
      <c r="H199" s="314"/>
      <c r="I199" s="315"/>
    </row>
    <row r="200" spans="1:9" ht="17.100000000000001" customHeight="1" x14ac:dyDescent="0.2">
      <c r="A200" s="308" t="s">
        <v>596</v>
      </c>
      <c r="B200" s="307"/>
      <c r="C200" s="307"/>
      <c r="D200" s="307"/>
      <c r="E200" s="307"/>
      <c r="F200" s="307"/>
      <c r="G200" s="307"/>
      <c r="H200" s="307"/>
      <c r="I200" s="309"/>
    </row>
    <row r="201" spans="1:9" ht="17.100000000000001" customHeight="1" x14ac:dyDescent="0.2">
      <c r="A201" s="149"/>
      <c r="B201" s="153"/>
      <c r="C201" s="218"/>
      <c r="D201" s="219"/>
      <c r="E201" s="219"/>
      <c r="F201" s="219"/>
      <c r="G201" s="218"/>
      <c r="H201" s="218"/>
      <c r="I201" s="152"/>
    </row>
    <row r="202" spans="1:9" ht="17.100000000000001" customHeight="1" x14ac:dyDescent="0.2">
      <c r="A202" s="149"/>
      <c r="B202" s="307" t="s">
        <v>9</v>
      </c>
      <c r="C202" s="307"/>
      <c r="D202" s="307"/>
      <c r="E202" s="219"/>
      <c r="F202" s="219"/>
      <c r="G202" s="307" t="s">
        <v>10</v>
      </c>
      <c r="H202" s="307"/>
      <c r="I202" s="152"/>
    </row>
    <row r="203" spans="1:9" ht="17.100000000000001" customHeight="1" x14ac:dyDescent="0.2">
      <c r="A203" s="149"/>
      <c r="B203" s="306" t="s">
        <v>3</v>
      </c>
      <c r="C203" s="306"/>
      <c r="D203" s="154">
        <v>0</v>
      </c>
      <c r="E203" s="154"/>
      <c r="F203" s="155"/>
      <c r="G203" s="218" t="s">
        <v>99</v>
      </c>
      <c r="H203" s="154">
        <v>0</v>
      </c>
      <c r="I203" s="169"/>
    </row>
    <row r="204" spans="1:9" ht="17.100000000000001" customHeight="1" x14ac:dyDescent="0.2">
      <c r="A204" s="149"/>
      <c r="B204" s="306" t="s">
        <v>106</v>
      </c>
      <c r="C204" s="306"/>
      <c r="D204" s="154">
        <v>0</v>
      </c>
      <c r="E204" s="154"/>
      <c r="F204" s="155"/>
      <c r="G204" s="218" t="s">
        <v>116</v>
      </c>
      <c r="H204" s="154">
        <v>0</v>
      </c>
      <c r="I204" s="169"/>
    </row>
    <row r="205" spans="1:9" ht="17.100000000000001" customHeight="1" x14ac:dyDescent="0.2">
      <c r="A205" s="149"/>
      <c r="B205" s="306" t="s">
        <v>107</v>
      </c>
      <c r="C205" s="306"/>
      <c r="D205" s="154">
        <v>0</v>
      </c>
      <c r="E205" s="154"/>
      <c r="F205" s="155"/>
      <c r="G205" s="218" t="s">
        <v>54</v>
      </c>
      <c r="H205" s="154">
        <v>0</v>
      </c>
      <c r="I205" s="169"/>
    </row>
    <row r="206" spans="1:9" ht="17.100000000000001" customHeight="1" x14ac:dyDescent="0.2">
      <c r="A206" s="149"/>
      <c r="B206" s="306" t="s">
        <v>105</v>
      </c>
      <c r="C206" s="306"/>
      <c r="D206" s="154">
        <v>0</v>
      </c>
      <c r="E206" s="154"/>
      <c r="F206" s="155"/>
      <c r="G206" s="218" t="s">
        <v>100</v>
      </c>
      <c r="H206" s="154">
        <v>0</v>
      </c>
      <c r="I206" s="169"/>
    </row>
    <row r="207" spans="1:9" ht="17.100000000000001" customHeight="1" x14ac:dyDescent="0.2">
      <c r="A207" s="149"/>
      <c r="B207" s="306" t="s">
        <v>291</v>
      </c>
      <c r="C207" s="306"/>
      <c r="D207" s="154">
        <v>0</v>
      </c>
      <c r="E207" s="154"/>
      <c r="F207" s="155"/>
      <c r="G207" s="218" t="s">
        <v>55</v>
      </c>
      <c r="H207" s="156">
        <v>0</v>
      </c>
      <c r="I207" s="169"/>
    </row>
    <row r="208" spans="1:9" ht="17.100000000000001" customHeight="1" x14ac:dyDescent="0.2">
      <c r="A208" s="149"/>
      <c r="B208" s="306" t="s">
        <v>662</v>
      </c>
      <c r="C208" s="306"/>
      <c r="D208" s="154">
        <f>ช่วย!J25</f>
        <v>0</v>
      </c>
      <c r="E208" s="154"/>
      <c r="F208" s="155"/>
      <c r="G208" s="218" t="s">
        <v>56</v>
      </c>
      <c r="H208" s="156">
        <v>0</v>
      </c>
      <c r="I208" s="169"/>
    </row>
    <row r="209" spans="1:9" ht="17.100000000000001" customHeight="1" x14ac:dyDescent="0.2">
      <c r="A209" s="149"/>
      <c r="B209" s="306" t="s">
        <v>136</v>
      </c>
      <c r="C209" s="306"/>
      <c r="D209" s="154">
        <f>ช่วย!K185</f>
        <v>0</v>
      </c>
      <c r="E209" s="154"/>
      <c r="F209" s="155"/>
      <c r="G209" s="218" t="s">
        <v>57</v>
      </c>
      <c r="H209" s="156">
        <v>0</v>
      </c>
      <c r="I209" s="169"/>
    </row>
    <row r="210" spans="1:9" ht="17.100000000000001" customHeight="1" x14ac:dyDescent="0.2">
      <c r="A210" s="149"/>
      <c r="B210" s="306" t="s">
        <v>6</v>
      </c>
      <c r="C210" s="306"/>
      <c r="D210" s="154">
        <v>0</v>
      </c>
      <c r="E210" s="154"/>
      <c r="F210" s="155"/>
      <c r="G210" s="218"/>
      <c r="H210" s="154"/>
      <c r="I210" s="169"/>
    </row>
    <row r="211" spans="1:9" ht="17.100000000000001" customHeight="1" x14ac:dyDescent="0.2">
      <c r="A211" s="149"/>
      <c r="B211" s="306" t="s">
        <v>7</v>
      </c>
      <c r="C211" s="306"/>
      <c r="D211" s="154">
        <v>0</v>
      </c>
      <c r="E211" s="154"/>
      <c r="F211" s="155"/>
      <c r="G211" s="218"/>
      <c r="H211" s="154"/>
      <c r="I211" s="169"/>
    </row>
    <row r="212" spans="1:9" ht="17.100000000000001" customHeight="1" x14ac:dyDescent="0.2">
      <c r="A212" s="149"/>
      <c r="B212" s="307" t="s">
        <v>117</v>
      </c>
      <c r="C212" s="307"/>
      <c r="D212" s="157">
        <f>SUM(D203:D211)</f>
        <v>0</v>
      </c>
      <c r="E212" s="157"/>
      <c r="F212" s="157"/>
      <c r="G212" s="219" t="s">
        <v>118</v>
      </c>
      <c r="H212" s="157">
        <f>SUM(H203:H211)</f>
        <v>0</v>
      </c>
      <c r="I212" s="169"/>
    </row>
    <row r="213" spans="1:9" ht="17.100000000000001" customHeight="1" x14ac:dyDescent="0.2">
      <c r="A213" s="149"/>
      <c r="B213" s="218"/>
      <c r="C213" s="219" t="s">
        <v>103</v>
      </c>
      <c r="D213" s="157">
        <f>D212-H212</f>
        <v>0</v>
      </c>
      <c r="E213" s="157"/>
      <c r="F213" s="158" t="s">
        <v>104</v>
      </c>
      <c r="H213" s="218"/>
      <c r="I213" s="152"/>
    </row>
    <row r="214" spans="1:9" ht="17.100000000000001" customHeight="1" x14ac:dyDescent="0.2">
      <c r="A214" s="149"/>
      <c r="B214" s="218"/>
      <c r="C214" s="307" t="str">
        <f>"("&amp;BAHTTEXT(D213)&amp;")"</f>
        <v>(ศูนย์บาทถ้วน)</v>
      </c>
      <c r="D214" s="307"/>
      <c r="E214" s="307"/>
      <c r="F214" s="307"/>
      <c r="G214" s="307"/>
      <c r="H214" s="218"/>
      <c r="I214" s="152"/>
    </row>
    <row r="215" spans="1:9" ht="17.100000000000001" customHeight="1" x14ac:dyDescent="0.2">
      <c r="A215" s="149"/>
      <c r="B215" s="218"/>
      <c r="C215" s="219"/>
      <c r="D215" s="219"/>
      <c r="E215" s="219"/>
      <c r="F215" s="219"/>
      <c r="G215" s="219"/>
      <c r="H215" s="218"/>
      <c r="I215" s="152"/>
    </row>
    <row r="216" spans="1:9" ht="17.100000000000001" customHeight="1" x14ac:dyDescent="0.2">
      <c r="A216" s="149"/>
      <c r="B216" s="218"/>
      <c r="C216" s="219"/>
      <c r="D216" s="219"/>
      <c r="E216" s="219"/>
      <c r="F216" s="219"/>
      <c r="G216" s="219"/>
      <c r="H216" s="218"/>
      <c r="I216" s="152"/>
    </row>
    <row r="217" spans="1:9" ht="17.100000000000001" customHeight="1" x14ac:dyDescent="0.2">
      <c r="A217" s="149"/>
      <c r="B217" s="218"/>
      <c r="C217" s="219"/>
      <c r="D217" s="219"/>
      <c r="E217" s="219"/>
      <c r="F217" s="219"/>
      <c r="G217" s="219"/>
      <c r="H217" s="218"/>
      <c r="I217" s="152"/>
    </row>
    <row r="218" spans="1:9" ht="17.100000000000001" customHeight="1" x14ac:dyDescent="0.2">
      <c r="A218" s="149"/>
      <c r="B218" s="218"/>
      <c r="C218" s="218"/>
      <c r="D218" s="218"/>
      <c r="E218" s="218"/>
      <c r="F218" s="218"/>
      <c r="G218" s="218"/>
      <c r="H218" s="218"/>
      <c r="I218" s="152"/>
    </row>
    <row r="219" spans="1:9" ht="17.100000000000001" customHeight="1" x14ac:dyDescent="0.2">
      <c r="A219" s="308" t="s">
        <v>315</v>
      </c>
      <c r="B219" s="307"/>
      <c r="C219" s="307"/>
      <c r="D219" s="307"/>
      <c r="E219" s="307"/>
      <c r="F219" s="307"/>
      <c r="G219" s="307"/>
      <c r="H219" s="307"/>
      <c r="I219" s="309"/>
    </row>
    <row r="220" spans="1:9" ht="17.100000000000001" customHeight="1" x14ac:dyDescent="0.2">
      <c r="A220" s="310" t="s">
        <v>298</v>
      </c>
      <c r="B220" s="311"/>
      <c r="C220" s="311"/>
      <c r="D220" s="311"/>
      <c r="E220" s="311"/>
      <c r="F220" s="311"/>
      <c r="G220" s="311"/>
      <c r="H220" s="311"/>
      <c r="I220" s="312"/>
    </row>
    <row r="221" spans="1:9" ht="17.100000000000001" customHeight="1" x14ac:dyDescent="0.2">
      <c r="A221" s="313" t="str">
        <f>รว!A199</f>
        <v>โรงพยาบาลสามโคก  ประจำเดือน  พฤศจิกายน  2568</v>
      </c>
      <c r="B221" s="314"/>
      <c r="C221" s="314"/>
      <c r="D221" s="314"/>
      <c r="E221" s="314"/>
      <c r="F221" s="314"/>
      <c r="G221" s="314"/>
      <c r="H221" s="314"/>
      <c r="I221" s="315"/>
    </row>
    <row r="222" spans="1:9" ht="17.100000000000001" customHeight="1" x14ac:dyDescent="0.2">
      <c r="A222" s="308" t="s">
        <v>607</v>
      </c>
      <c r="B222" s="307"/>
      <c r="C222" s="307"/>
      <c r="D222" s="307"/>
      <c r="E222" s="307"/>
      <c r="F222" s="307"/>
      <c r="G222" s="307"/>
      <c r="H222" s="307"/>
      <c r="I222" s="309"/>
    </row>
    <row r="223" spans="1:9" ht="17.100000000000001" customHeight="1" x14ac:dyDescent="0.2">
      <c r="A223" s="149"/>
      <c r="B223" s="153"/>
      <c r="C223" s="227"/>
      <c r="D223" s="228"/>
      <c r="E223" s="228"/>
      <c r="F223" s="228"/>
      <c r="G223" s="227"/>
      <c r="H223" s="227"/>
      <c r="I223" s="152"/>
    </row>
    <row r="224" spans="1:9" ht="17.100000000000001" customHeight="1" x14ac:dyDescent="0.2">
      <c r="A224" s="149"/>
      <c r="B224" s="307" t="s">
        <v>9</v>
      </c>
      <c r="C224" s="307"/>
      <c r="D224" s="307"/>
      <c r="E224" s="228"/>
      <c r="F224" s="228"/>
      <c r="G224" s="307" t="s">
        <v>10</v>
      </c>
      <c r="H224" s="307"/>
      <c r="I224" s="152"/>
    </row>
    <row r="225" spans="1:9" ht="17.100000000000001" customHeight="1" x14ac:dyDescent="0.2">
      <c r="A225" s="149"/>
      <c r="B225" s="306" t="s">
        <v>3</v>
      </c>
      <c r="C225" s="306"/>
      <c r="D225" s="154">
        <v>0</v>
      </c>
      <c r="E225" s="154"/>
      <c r="F225" s="155"/>
      <c r="G225" s="227" t="s">
        <v>99</v>
      </c>
      <c r="H225" s="154">
        <v>0</v>
      </c>
      <c r="I225" s="169"/>
    </row>
    <row r="226" spans="1:9" ht="17.100000000000001" customHeight="1" x14ac:dyDescent="0.2">
      <c r="A226" s="149"/>
      <c r="B226" s="306" t="s">
        <v>106</v>
      </c>
      <c r="C226" s="306"/>
      <c r="D226" s="154">
        <v>0</v>
      </c>
      <c r="E226" s="154"/>
      <c r="F226" s="155"/>
      <c r="G226" s="227" t="s">
        <v>116</v>
      </c>
      <c r="H226" s="154">
        <v>0</v>
      </c>
      <c r="I226" s="169"/>
    </row>
    <row r="227" spans="1:9" ht="17.100000000000001" customHeight="1" x14ac:dyDescent="0.2">
      <c r="A227" s="149"/>
      <c r="B227" s="306" t="s">
        <v>107</v>
      </c>
      <c r="C227" s="306"/>
      <c r="D227" s="154">
        <v>0</v>
      </c>
      <c r="E227" s="154"/>
      <c r="F227" s="155"/>
      <c r="G227" s="227" t="s">
        <v>54</v>
      </c>
      <c r="H227" s="154">
        <v>0</v>
      </c>
      <c r="I227" s="169"/>
    </row>
    <row r="228" spans="1:9" ht="17.100000000000001" customHeight="1" x14ac:dyDescent="0.2">
      <c r="A228" s="149"/>
      <c r="B228" s="306" t="s">
        <v>105</v>
      </c>
      <c r="C228" s="306"/>
      <c r="D228" s="154">
        <v>0</v>
      </c>
      <c r="E228" s="154"/>
      <c r="F228" s="155"/>
      <c r="G228" s="227" t="s">
        <v>100</v>
      </c>
      <c r="H228" s="154">
        <v>0</v>
      </c>
      <c r="I228" s="169"/>
    </row>
    <row r="229" spans="1:9" ht="17.100000000000001" customHeight="1" x14ac:dyDescent="0.2">
      <c r="A229" s="149"/>
      <c r="B229" s="306" t="s">
        <v>291</v>
      </c>
      <c r="C229" s="306"/>
      <c r="D229" s="154">
        <v>0</v>
      </c>
      <c r="E229" s="154"/>
      <c r="F229" s="155"/>
      <c r="G229" s="227" t="s">
        <v>55</v>
      </c>
      <c r="H229" s="156">
        <v>0</v>
      </c>
      <c r="I229" s="169"/>
    </row>
    <row r="230" spans="1:9" ht="17.100000000000001" customHeight="1" x14ac:dyDescent="0.2">
      <c r="A230" s="149"/>
      <c r="B230" s="306" t="s">
        <v>662</v>
      </c>
      <c r="C230" s="306"/>
      <c r="D230" s="154">
        <f>ช่วย!J26</f>
        <v>0</v>
      </c>
      <c r="E230" s="154"/>
      <c r="F230" s="155"/>
      <c r="G230" s="227" t="s">
        <v>56</v>
      </c>
      <c r="H230" s="156">
        <v>0</v>
      </c>
      <c r="I230" s="169"/>
    </row>
    <row r="231" spans="1:9" ht="17.100000000000001" customHeight="1" x14ac:dyDescent="0.2">
      <c r="A231" s="149"/>
      <c r="B231" s="306" t="s">
        <v>136</v>
      </c>
      <c r="C231" s="306"/>
      <c r="D231" s="154">
        <f>ช่วย!K207</f>
        <v>0</v>
      </c>
      <c r="E231" s="154"/>
      <c r="F231" s="155"/>
      <c r="G231" s="227" t="s">
        <v>57</v>
      </c>
      <c r="H231" s="156">
        <v>0</v>
      </c>
      <c r="I231" s="169"/>
    </row>
    <row r="232" spans="1:9" ht="17.100000000000001" customHeight="1" x14ac:dyDescent="0.2">
      <c r="A232" s="149"/>
      <c r="B232" s="306" t="s">
        <v>6</v>
      </c>
      <c r="C232" s="306"/>
      <c r="D232" s="154">
        <v>0</v>
      </c>
      <c r="E232" s="154"/>
      <c r="F232" s="155"/>
      <c r="G232" s="227"/>
      <c r="H232" s="154"/>
      <c r="I232" s="169"/>
    </row>
    <row r="233" spans="1:9" ht="17.100000000000001" customHeight="1" x14ac:dyDescent="0.2">
      <c r="A233" s="149"/>
      <c r="B233" s="306" t="s">
        <v>7</v>
      </c>
      <c r="C233" s="306"/>
      <c r="D233" s="154">
        <v>0</v>
      </c>
      <c r="E233" s="154"/>
      <c r="F233" s="155"/>
      <c r="G233" s="227"/>
      <c r="H233" s="154"/>
      <c r="I233" s="169"/>
    </row>
    <row r="234" spans="1:9" ht="17.100000000000001" customHeight="1" x14ac:dyDescent="0.2">
      <c r="A234" s="149"/>
      <c r="B234" s="307" t="s">
        <v>117</v>
      </c>
      <c r="C234" s="307"/>
      <c r="D234" s="157">
        <f>SUM(D225:D233)</f>
        <v>0</v>
      </c>
      <c r="E234" s="157"/>
      <c r="F234" s="157"/>
      <c r="G234" s="228" t="s">
        <v>118</v>
      </c>
      <c r="H234" s="157">
        <f>SUM(H225:H233)</f>
        <v>0</v>
      </c>
      <c r="I234" s="169"/>
    </row>
    <row r="235" spans="1:9" ht="17.100000000000001" customHeight="1" x14ac:dyDescent="0.2">
      <c r="A235" s="149"/>
      <c r="B235" s="227"/>
      <c r="C235" s="228" t="s">
        <v>103</v>
      </c>
      <c r="D235" s="157">
        <f>D234-H234</f>
        <v>0</v>
      </c>
      <c r="E235" s="157"/>
      <c r="F235" s="158" t="s">
        <v>104</v>
      </c>
      <c r="H235" s="227"/>
      <c r="I235" s="152"/>
    </row>
    <row r="236" spans="1:9" ht="17.100000000000001" customHeight="1" x14ac:dyDescent="0.2">
      <c r="A236" s="149"/>
      <c r="B236" s="227"/>
      <c r="C236" s="307" t="str">
        <f>"("&amp;BAHTTEXT(D235)&amp;")"</f>
        <v>(ศูนย์บาทถ้วน)</v>
      </c>
      <c r="D236" s="307"/>
      <c r="E236" s="307"/>
      <c r="F236" s="307"/>
      <c r="G236" s="307"/>
      <c r="H236" s="227"/>
      <c r="I236" s="152"/>
    </row>
    <row r="237" spans="1:9" ht="17.100000000000001" customHeight="1" x14ac:dyDescent="0.2">
      <c r="A237" s="149"/>
      <c r="B237" s="227"/>
      <c r="C237" s="228"/>
      <c r="D237" s="228"/>
      <c r="E237" s="228"/>
      <c r="F237" s="228"/>
      <c r="G237" s="228"/>
      <c r="H237" s="227"/>
      <c r="I237" s="152"/>
    </row>
    <row r="238" spans="1:9" ht="17.100000000000001" customHeight="1" x14ac:dyDescent="0.2">
      <c r="A238" s="149"/>
      <c r="B238" s="227"/>
      <c r="C238" s="228"/>
      <c r="D238" s="228"/>
      <c r="E238" s="228"/>
      <c r="F238" s="228"/>
      <c r="G238" s="228"/>
      <c r="H238" s="227"/>
      <c r="I238" s="152"/>
    </row>
    <row r="239" spans="1:9" ht="17.100000000000001" customHeight="1" x14ac:dyDescent="0.2">
      <c r="A239" s="149"/>
      <c r="B239" s="227"/>
      <c r="C239" s="228"/>
      <c r="D239" s="228"/>
      <c r="E239" s="228"/>
      <c r="F239" s="228"/>
      <c r="G239" s="228"/>
      <c r="H239" s="227"/>
      <c r="I239" s="152"/>
    </row>
    <row r="240" spans="1:9" ht="17.100000000000001" customHeight="1" x14ac:dyDescent="0.2">
      <c r="A240" s="149"/>
      <c r="B240" s="227"/>
      <c r="C240" s="227"/>
      <c r="D240" s="227"/>
      <c r="E240" s="227"/>
      <c r="F240" s="227"/>
      <c r="G240" s="227"/>
      <c r="H240" s="227"/>
      <c r="I240" s="152"/>
    </row>
    <row r="241" spans="1:9" ht="17.100000000000001" customHeight="1" x14ac:dyDescent="0.2">
      <c r="A241" s="308" t="s">
        <v>315</v>
      </c>
      <c r="B241" s="307"/>
      <c r="C241" s="307"/>
      <c r="D241" s="307"/>
      <c r="E241" s="307"/>
      <c r="F241" s="307"/>
      <c r="G241" s="307"/>
      <c r="H241" s="307"/>
      <c r="I241" s="309"/>
    </row>
    <row r="242" spans="1:9" ht="17.100000000000001" customHeight="1" x14ac:dyDescent="0.2">
      <c r="A242" s="310" t="s">
        <v>298</v>
      </c>
      <c r="B242" s="311"/>
      <c r="C242" s="311"/>
      <c r="D242" s="311"/>
      <c r="E242" s="311"/>
      <c r="F242" s="311"/>
      <c r="G242" s="311"/>
      <c r="H242" s="311"/>
      <c r="I242" s="312"/>
    </row>
    <row r="243" spans="1:9" ht="17.100000000000001" customHeight="1" x14ac:dyDescent="0.2">
      <c r="A243" s="313" t="str">
        <f>รว!A221</f>
        <v>โรงพยาบาลสามโคก  ประจำเดือน  พฤศจิกายน  2568</v>
      </c>
      <c r="B243" s="314"/>
      <c r="C243" s="314"/>
      <c r="D243" s="314"/>
      <c r="E243" s="314"/>
      <c r="F243" s="314"/>
      <c r="G243" s="314"/>
      <c r="H243" s="314"/>
      <c r="I243" s="315"/>
    </row>
    <row r="244" spans="1:9" ht="17.100000000000001" customHeight="1" x14ac:dyDescent="0.2">
      <c r="A244" s="308" t="s">
        <v>670</v>
      </c>
      <c r="B244" s="307"/>
      <c r="C244" s="307"/>
      <c r="D244" s="307"/>
      <c r="E244" s="307"/>
      <c r="F244" s="307"/>
      <c r="G244" s="307"/>
      <c r="H244" s="307"/>
      <c r="I244" s="309"/>
    </row>
    <row r="245" spans="1:9" ht="17.100000000000001" customHeight="1" x14ac:dyDescent="0.2">
      <c r="A245" s="149"/>
      <c r="B245" s="153"/>
      <c r="C245" s="246"/>
      <c r="D245" s="247"/>
      <c r="E245" s="247"/>
      <c r="F245" s="247"/>
      <c r="G245" s="246"/>
      <c r="H245" s="246"/>
      <c r="I245" s="152"/>
    </row>
    <row r="246" spans="1:9" ht="17.100000000000001" customHeight="1" x14ac:dyDescent="0.2">
      <c r="A246" s="149"/>
      <c r="B246" s="307" t="s">
        <v>9</v>
      </c>
      <c r="C246" s="307"/>
      <c r="D246" s="307"/>
      <c r="E246" s="247"/>
      <c r="F246" s="247"/>
      <c r="G246" s="307" t="s">
        <v>10</v>
      </c>
      <c r="H246" s="307"/>
      <c r="I246" s="152"/>
    </row>
    <row r="247" spans="1:9" ht="17.100000000000001" customHeight="1" x14ac:dyDescent="0.2">
      <c r="A247" s="149"/>
      <c r="B247" s="306" t="s">
        <v>3</v>
      </c>
      <c r="C247" s="306"/>
      <c r="D247" s="154">
        <v>0</v>
      </c>
      <c r="E247" s="154"/>
      <c r="F247" s="155"/>
      <c r="G247" s="246" t="s">
        <v>99</v>
      </c>
      <c r="H247" s="154">
        <v>0</v>
      </c>
      <c r="I247" s="169"/>
    </row>
    <row r="248" spans="1:9" ht="17.100000000000001" customHeight="1" x14ac:dyDescent="0.2">
      <c r="A248" s="149"/>
      <c r="B248" s="306" t="s">
        <v>106</v>
      </c>
      <c r="C248" s="306"/>
      <c r="D248" s="154">
        <v>0</v>
      </c>
      <c r="E248" s="154"/>
      <c r="F248" s="155"/>
      <c r="G248" s="246" t="s">
        <v>116</v>
      </c>
      <c r="H248" s="154">
        <v>0</v>
      </c>
      <c r="I248" s="169"/>
    </row>
    <row r="249" spans="1:9" ht="17.100000000000001" customHeight="1" x14ac:dyDescent="0.2">
      <c r="A249" s="149"/>
      <c r="B249" s="306" t="s">
        <v>107</v>
      </c>
      <c r="C249" s="306"/>
      <c r="D249" s="154">
        <v>0</v>
      </c>
      <c r="E249" s="154"/>
      <c r="F249" s="155"/>
      <c r="G249" s="246" t="s">
        <v>54</v>
      </c>
      <c r="H249" s="154">
        <v>0</v>
      </c>
      <c r="I249" s="169"/>
    </row>
    <row r="250" spans="1:9" ht="17.100000000000001" customHeight="1" x14ac:dyDescent="0.2">
      <c r="A250" s="149"/>
      <c r="B250" s="306" t="s">
        <v>105</v>
      </c>
      <c r="C250" s="306"/>
      <c r="D250" s="154">
        <v>0</v>
      </c>
      <c r="E250" s="154"/>
      <c r="F250" s="155"/>
      <c r="G250" s="246" t="s">
        <v>100</v>
      </c>
      <c r="H250" s="154">
        <v>0</v>
      </c>
      <c r="I250" s="169"/>
    </row>
    <row r="251" spans="1:9" ht="17.100000000000001" customHeight="1" x14ac:dyDescent="0.2">
      <c r="A251" s="149"/>
      <c r="B251" s="306" t="s">
        <v>291</v>
      </c>
      <c r="C251" s="306"/>
      <c r="D251" s="154">
        <v>0</v>
      </c>
      <c r="E251" s="154"/>
      <c r="F251" s="155"/>
      <c r="G251" s="246" t="s">
        <v>55</v>
      </c>
      <c r="H251" s="156">
        <v>0</v>
      </c>
      <c r="I251" s="169"/>
    </row>
    <row r="252" spans="1:9" ht="17.100000000000001" customHeight="1" x14ac:dyDescent="0.2">
      <c r="A252" s="149"/>
      <c r="B252" s="306" t="s">
        <v>662</v>
      </c>
      <c r="C252" s="306"/>
      <c r="D252" s="154">
        <f>ช่วย!J24</f>
        <v>0</v>
      </c>
      <c r="E252" s="154"/>
      <c r="F252" s="155"/>
      <c r="G252" s="246" t="s">
        <v>56</v>
      </c>
      <c r="H252" s="156">
        <v>0</v>
      </c>
      <c r="I252" s="169"/>
    </row>
    <row r="253" spans="1:9" ht="17.100000000000001" customHeight="1" x14ac:dyDescent="0.2">
      <c r="A253" s="149"/>
      <c r="B253" s="306" t="s">
        <v>136</v>
      </c>
      <c r="C253" s="306"/>
      <c r="D253" s="154">
        <f>ช่วย!K229</f>
        <v>0</v>
      </c>
      <c r="E253" s="154"/>
      <c r="F253" s="155"/>
      <c r="G253" s="246" t="s">
        <v>57</v>
      </c>
      <c r="H253" s="156">
        <v>0</v>
      </c>
      <c r="I253" s="169"/>
    </row>
    <row r="254" spans="1:9" ht="17.100000000000001" customHeight="1" x14ac:dyDescent="0.2">
      <c r="A254" s="149"/>
      <c r="B254" s="306" t="s">
        <v>6</v>
      </c>
      <c r="C254" s="306"/>
      <c r="D254" s="154">
        <v>0</v>
      </c>
      <c r="E254" s="154"/>
      <c r="F254" s="155"/>
      <c r="G254" s="246"/>
      <c r="H254" s="154"/>
      <c r="I254" s="169"/>
    </row>
    <row r="255" spans="1:9" ht="17.100000000000001" customHeight="1" x14ac:dyDescent="0.2">
      <c r="A255" s="149"/>
      <c r="B255" s="306" t="s">
        <v>7</v>
      </c>
      <c r="C255" s="306"/>
      <c r="D255" s="154">
        <v>0</v>
      </c>
      <c r="E255" s="154"/>
      <c r="F255" s="155"/>
      <c r="G255" s="246"/>
      <c r="H255" s="154"/>
      <c r="I255" s="169"/>
    </row>
    <row r="256" spans="1:9" ht="17.100000000000001" customHeight="1" x14ac:dyDescent="0.2">
      <c r="A256" s="149"/>
      <c r="B256" s="307" t="s">
        <v>117</v>
      </c>
      <c r="C256" s="307"/>
      <c r="D256" s="157">
        <f>SUM(D247:D255)</f>
        <v>0</v>
      </c>
      <c r="E256" s="157"/>
      <c r="F256" s="157"/>
      <c r="G256" s="247" t="s">
        <v>118</v>
      </c>
      <c r="H256" s="157">
        <f>SUM(H247:H255)</f>
        <v>0</v>
      </c>
      <c r="I256" s="169"/>
    </row>
    <row r="257" spans="1:9" ht="17.100000000000001" customHeight="1" x14ac:dyDescent="0.2">
      <c r="A257" s="149"/>
      <c r="B257" s="246"/>
      <c r="C257" s="247" t="s">
        <v>103</v>
      </c>
      <c r="D257" s="157">
        <f>D256-H256</f>
        <v>0</v>
      </c>
      <c r="E257" s="157"/>
      <c r="F257" s="158" t="s">
        <v>104</v>
      </c>
      <c r="H257" s="246"/>
      <c r="I257" s="152"/>
    </row>
    <row r="258" spans="1:9" ht="17.100000000000001" customHeight="1" x14ac:dyDescent="0.2">
      <c r="A258" s="149"/>
      <c r="B258" s="246"/>
      <c r="C258" s="307" t="str">
        <f>"("&amp;BAHTTEXT(D257)&amp;")"</f>
        <v>(ศูนย์บาทถ้วน)</v>
      </c>
      <c r="D258" s="307"/>
      <c r="E258" s="307"/>
      <c r="F258" s="307"/>
      <c r="G258" s="307"/>
      <c r="H258" s="246"/>
      <c r="I258" s="152"/>
    </row>
    <row r="259" spans="1:9" ht="17.100000000000001" customHeight="1" x14ac:dyDescent="0.2">
      <c r="A259" s="149"/>
      <c r="B259" s="246"/>
      <c r="C259" s="247"/>
      <c r="D259" s="247"/>
      <c r="E259" s="247"/>
      <c r="F259" s="247"/>
      <c r="G259" s="247"/>
      <c r="H259" s="246"/>
      <c r="I259" s="152"/>
    </row>
    <row r="260" spans="1:9" ht="17.100000000000001" customHeight="1" x14ac:dyDescent="0.2">
      <c r="A260" s="149"/>
      <c r="B260" s="246"/>
      <c r="C260" s="247"/>
      <c r="D260" s="247"/>
      <c r="E260" s="247"/>
      <c r="F260" s="247"/>
      <c r="G260" s="247"/>
      <c r="H260" s="246"/>
      <c r="I260" s="152"/>
    </row>
    <row r="261" spans="1:9" ht="17.100000000000001" customHeight="1" x14ac:dyDescent="0.2">
      <c r="A261" s="149"/>
      <c r="B261" s="246"/>
      <c r="C261" s="247"/>
      <c r="D261" s="247"/>
      <c r="E261" s="247"/>
      <c r="F261" s="247"/>
      <c r="G261" s="247"/>
      <c r="H261" s="246"/>
      <c r="I261" s="152"/>
    </row>
    <row r="262" spans="1:9" ht="17.100000000000001" customHeight="1" x14ac:dyDescent="0.2">
      <c r="A262" s="149"/>
      <c r="B262" s="246"/>
      <c r="C262" s="246"/>
      <c r="D262" s="246"/>
      <c r="E262" s="246"/>
      <c r="F262" s="246"/>
      <c r="G262" s="246"/>
      <c r="H262" s="246"/>
      <c r="I262" s="152"/>
    </row>
    <row r="263" spans="1:9" ht="17.100000000000001" customHeight="1" x14ac:dyDescent="0.2">
      <c r="A263" s="308" t="s">
        <v>315</v>
      </c>
      <c r="B263" s="307"/>
      <c r="C263" s="307"/>
      <c r="D263" s="307"/>
      <c r="E263" s="307"/>
      <c r="F263" s="307"/>
      <c r="G263" s="307"/>
      <c r="H263" s="307"/>
      <c r="I263" s="309"/>
    </row>
    <row r="264" spans="1:9" ht="17.100000000000001" customHeight="1" x14ac:dyDescent="0.2">
      <c r="A264" s="310" t="s">
        <v>298</v>
      </c>
      <c r="B264" s="311"/>
      <c r="C264" s="311"/>
      <c r="D264" s="311"/>
      <c r="E264" s="311"/>
      <c r="F264" s="311"/>
      <c r="G264" s="311"/>
      <c r="H264" s="311"/>
      <c r="I264" s="312"/>
    </row>
  </sheetData>
  <mergeCells count="204">
    <mergeCell ref="A198:I198"/>
    <mergeCell ref="A177:I177"/>
    <mergeCell ref="B180:D180"/>
    <mergeCell ref="G180:H180"/>
    <mergeCell ref="B181:C181"/>
    <mergeCell ref="B182:C182"/>
    <mergeCell ref="B183:C183"/>
    <mergeCell ref="B184:C184"/>
    <mergeCell ref="B185:C185"/>
    <mergeCell ref="A178:I178"/>
    <mergeCell ref="B186:C186"/>
    <mergeCell ref="B187:C187"/>
    <mergeCell ref="B188:C188"/>
    <mergeCell ref="B189:C189"/>
    <mergeCell ref="B190:C190"/>
    <mergeCell ref="C192:G192"/>
    <mergeCell ref="A197:I197"/>
    <mergeCell ref="B164:C164"/>
    <mergeCell ref="B165:C165"/>
    <mergeCell ref="B166:C166"/>
    <mergeCell ref="B167:C167"/>
    <mergeCell ref="B168:C168"/>
    <mergeCell ref="C170:G170"/>
    <mergeCell ref="A175:I175"/>
    <mergeCell ref="A176:I176"/>
    <mergeCell ref="A155:I155"/>
    <mergeCell ref="A156:I156"/>
    <mergeCell ref="B158:D158"/>
    <mergeCell ref="G158:H158"/>
    <mergeCell ref="B159:C159"/>
    <mergeCell ref="B160:C160"/>
    <mergeCell ref="B161:C161"/>
    <mergeCell ref="B162:C162"/>
    <mergeCell ref="B163:C163"/>
    <mergeCell ref="C148:G148"/>
    <mergeCell ref="A153:I153"/>
    <mergeCell ref="A154:I154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A133:I133"/>
    <mergeCell ref="A112:I112"/>
    <mergeCell ref="B136:D136"/>
    <mergeCell ref="G136:H136"/>
    <mergeCell ref="B99:C99"/>
    <mergeCell ref="B100:C100"/>
    <mergeCell ref="B101:C101"/>
    <mergeCell ref="B102:C102"/>
    <mergeCell ref="C104:G10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C126:G126"/>
    <mergeCell ref="A131:I131"/>
    <mergeCell ref="A132:I132"/>
    <mergeCell ref="A111:I111"/>
    <mergeCell ref="A134:I134"/>
    <mergeCell ref="A21:I21"/>
    <mergeCell ref="A22:I22"/>
    <mergeCell ref="B11:C11"/>
    <mergeCell ref="B35:C35"/>
    <mergeCell ref="B36:C36"/>
    <mergeCell ref="B12:C12"/>
    <mergeCell ref="B13:C13"/>
    <mergeCell ref="B14:C14"/>
    <mergeCell ref="C16:G16"/>
    <mergeCell ref="B34:C34"/>
    <mergeCell ref="A23:I23"/>
    <mergeCell ref="A24:I24"/>
    <mergeCell ref="B26:D26"/>
    <mergeCell ref="G26:H26"/>
    <mergeCell ref="B27:C27"/>
    <mergeCell ref="B28:C28"/>
    <mergeCell ref="B6:C6"/>
    <mergeCell ref="B7:C7"/>
    <mergeCell ref="B8:C8"/>
    <mergeCell ref="B9:C9"/>
    <mergeCell ref="B10:C10"/>
    <mergeCell ref="A1:I1"/>
    <mergeCell ref="A2:I2"/>
    <mergeCell ref="B4:D4"/>
    <mergeCell ref="G4:H4"/>
    <mergeCell ref="B5:C5"/>
    <mergeCell ref="C38:G38"/>
    <mergeCell ref="A43:I43"/>
    <mergeCell ref="A44:I44"/>
    <mergeCell ref="B29:C29"/>
    <mergeCell ref="B30:C30"/>
    <mergeCell ref="B31:C31"/>
    <mergeCell ref="B32:C32"/>
    <mergeCell ref="B33:C33"/>
    <mergeCell ref="A45:I45"/>
    <mergeCell ref="A46:I46"/>
    <mergeCell ref="B48:D48"/>
    <mergeCell ref="G48:H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C60:G60"/>
    <mergeCell ref="A65:I65"/>
    <mergeCell ref="A66:I66"/>
    <mergeCell ref="A67:I67"/>
    <mergeCell ref="A68:I68"/>
    <mergeCell ref="B70:D70"/>
    <mergeCell ref="G70:H70"/>
    <mergeCell ref="B71:C71"/>
    <mergeCell ref="B72:C72"/>
    <mergeCell ref="B73:C73"/>
    <mergeCell ref="B74:C74"/>
    <mergeCell ref="B75:C75"/>
    <mergeCell ref="C82:G82"/>
    <mergeCell ref="A87:I87"/>
    <mergeCell ref="B114:D114"/>
    <mergeCell ref="G114:H114"/>
    <mergeCell ref="A88:I88"/>
    <mergeCell ref="B76:C76"/>
    <mergeCell ref="B77:C77"/>
    <mergeCell ref="B78:C78"/>
    <mergeCell ref="B79:C79"/>
    <mergeCell ref="B80:C80"/>
    <mergeCell ref="B94:C94"/>
    <mergeCell ref="B95:C95"/>
    <mergeCell ref="B96:C96"/>
    <mergeCell ref="B97:C97"/>
    <mergeCell ref="B98:C98"/>
    <mergeCell ref="A89:I89"/>
    <mergeCell ref="A90:I90"/>
    <mergeCell ref="B92:D92"/>
    <mergeCell ref="G92:H92"/>
    <mergeCell ref="B93:C93"/>
    <mergeCell ref="A109:I109"/>
    <mergeCell ref="A110:I110"/>
    <mergeCell ref="B208:C208"/>
    <mergeCell ref="B209:C209"/>
    <mergeCell ref="B210:C210"/>
    <mergeCell ref="B211:C211"/>
    <mergeCell ref="B212:C212"/>
    <mergeCell ref="C214:G214"/>
    <mergeCell ref="A219:I219"/>
    <mergeCell ref="A220:I220"/>
    <mergeCell ref="A199:I199"/>
    <mergeCell ref="A200:I200"/>
    <mergeCell ref="B202:D202"/>
    <mergeCell ref="G202:H202"/>
    <mergeCell ref="B203:C203"/>
    <mergeCell ref="B204:C204"/>
    <mergeCell ref="B205:C205"/>
    <mergeCell ref="B206:C206"/>
    <mergeCell ref="B207:C207"/>
    <mergeCell ref="B230:C230"/>
    <mergeCell ref="B231:C231"/>
    <mergeCell ref="B232:C232"/>
    <mergeCell ref="B233:C233"/>
    <mergeCell ref="B234:C234"/>
    <mergeCell ref="C236:G236"/>
    <mergeCell ref="A241:I241"/>
    <mergeCell ref="A242:I242"/>
    <mergeCell ref="A221:I221"/>
    <mergeCell ref="A222:I222"/>
    <mergeCell ref="B224:D224"/>
    <mergeCell ref="G224:H224"/>
    <mergeCell ref="B225:C225"/>
    <mergeCell ref="B226:C226"/>
    <mergeCell ref="B227:C227"/>
    <mergeCell ref="B228:C228"/>
    <mergeCell ref="B229:C229"/>
    <mergeCell ref="B252:C252"/>
    <mergeCell ref="B253:C253"/>
    <mergeCell ref="B254:C254"/>
    <mergeCell ref="B255:C255"/>
    <mergeCell ref="B256:C256"/>
    <mergeCell ref="C258:G258"/>
    <mergeCell ref="A263:I263"/>
    <mergeCell ref="A264:I264"/>
    <mergeCell ref="A243:I243"/>
    <mergeCell ref="A244:I244"/>
    <mergeCell ref="B246:D246"/>
    <mergeCell ref="G246:H246"/>
    <mergeCell ref="B247:C247"/>
    <mergeCell ref="B248:C248"/>
    <mergeCell ref="B249:C249"/>
    <mergeCell ref="B250:C250"/>
    <mergeCell ref="B251:C251"/>
  </mergeCells>
  <pageMargins left="0.23622047244094491" right="0" top="0.31496062992125984" bottom="0" header="0" footer="0"/>
  <pageSetup paperSize="1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ข้าราชการ</vt:lpstr>
      <vt:lpstr>ลจ.ประจำ</vt:lpstr>
      <vt:lpstr>พนักงาน</vt:lpstr>
      <vt:lpstr>พกส.</vt:lpstr>
      <vt:lpstr>รายเดือน</vt:lpstr>
      <vt:lpstr>รายวัน</vt:lpstr>
      <vt:lpstr>ช่วย</vt:lpstr>
      <vt:lpstr>สรุป</vt:lpstr>
      <vt:lpstr>ขร1</vt:lpstr>
      <vt:lpstr>ขร2</vt:lpstr>
      <vt:lpstr>ขร3</vt:lpstr>
      <vt:lpstr>ลจ</vt:lpstr>
      <vt:lpstr>พนง.ราชการ</vt:lpstr>
      <vt:lpstr>พกส.1</vt:lpstr>
      <vt:lpstr>พกส.1 (2)</vt:lpstr>
      <vt:lpstr>รด.1</vt:lpstr>
      <vt:lpstr>รว</vt:lpstr>
      <vt:lpstr>รว (2)</vt:lpstr>
      <vt:lpstr>1ช่วย</vt:lpstr>
      <vt:lpstr>ข้าราชการ!Print_Titles</vt:lpstr>
      <vt:lpstr>ช่วย!Print_Titles</vt:lpstr>
      <vt:lpstr>พกส.!Print_Titles</vt:lpstr>
      <vt:lpstr>พนักงาน!Print_Titles</vt:lpstr>
      <vt:lpstr>รายเดือน!Print_Titles</vt:lpstr>
      <vt:lpstr>รายวัน!Print_Titles</vt:lpstr>
      <vt:lpstr>ลจ.ประจำ!Print_Titles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wiraphon</dc:creator>
  <cp:lastModifiedBy>Wira _tum</cp:lastModifiedBy>
  <cp:lastPrinted>2025-11-24T07:14:06Z</cp:lastPrinted>
  <dcterms:created xsi:type="dcterms:W3CDTF">2014-01-20T03:41:42Z</dcterms:created>
  <dcterms:modified xsi:type="dcterms:W3CDTF">2025-12-03T08:16:10Z</dcterms:modified>
</cp:coreProperties>
</file>